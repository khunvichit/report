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<sst xmlns="http://schemas.openxmlformats.org/spreadsheetml/2006/main" count="154" uniqueCount="97">
  <si>
    <t xml:space="preserve">รหัส</t>
  </si>
  <si>
    <t xml:space="preserve">เมนู</t>
  </si>
  <si>
    <t xml:space="preserve">หมวดหมู่</t>
  </si>
  <si>
    <t xml:space="preserve">ราคาปัจจุบัน (inc-VAT)</t>
  </si>
  <si>
    <t xml:space="preserve">ราคาใหม่ รอ POS (inc-VAT)</t>
  </si>
  <si>
    <t xml:space="preserve">ต้นทุน (฿)</t>
  </si>
  <si>
    <t xml:space="preserve">FC% (ราคาที่จะใช้)</t>
  </si>
  <si>
    <t xml:space="preserve">K037</t>
  </si>
  <si>
    <t xml:space="preserve">ข้าวผัดกะเพราหมูสับ</t>
  </si>
  <si>
    <t xml:space="preserve">ข้าวกะเพรา/ผัด</t>
  </si>
  <si>
    <t xml:space="preserve">K038</t>
  </si>
  <si>
    <t xml:space="preserve">ข้าวผัดกะเพราไก่ชิ้น</t>
  </si>
  <si>
    <t xml:space="preserve">K039</t>
  </si>
  <si>
    <t xml:space="preserve">ข้าวไก่กระเทียม</t>
  </si>
  <si>
    <t xml:space="preserve">K040</t>
  </si>
  <si>
    <t xml:space="preserve">ข้าวหมูกระเทียม</t>
  </si>
  <si>
    <t xml:space="preserve">K041</t>
  </si>
  <si>
    <t xml:space="preserve">ข้าวไข่ยู่ยี่</t>
  </si>
  <si>
    <t xml:space="preserve">K046</t>
  </si>
  <si>
    <t xml:space="preserve">ข้าวไก่ผัดน้ำมันหอย</t>
  </si>
  <si>
    <t xml:space="preserve">K047</t>
  </si>
  <si>
    <t xml:space="preserve">ข้าวหมูผัดน้ำมันหอย</t>
  </si>
  <si>
    <t xml:space="preserve">K008</t>
  </si>
  <si>
    <t xml:space="preserve">ข้าวผัดโบราณ</t>
  </si>
  <si>
    <t xml:space="preserve">K042</t>
  </si>
  <si>
    <t xml:space="preserve">ข้าวกะเพราดิบเถื่อน (เนื้อโคขุน)</t>
  </si>
  <si>
    <t xml:space="preserve">Premium</t>
  </si>
  <si>
    <t xml:space="preserve">—</t>
  </si>
  <si>
    <t xml:space="preserve">K043</t>
  </si>
  <si>
    <t xml:space="preserve">ข้าวกะเพราเทพหมู</t>
  </si>
  <si>
    <t xml:space="preserve">K013</t>
  </si>
  <si>
    <t xml:space="preserve">ข้าวกะเพราไก่คาราเกะ</t>
  </si>
  <si>
    <t xml:space="preserve">K045</t>
  </si>
  <si>
    <t xml:space="preserve">ข้าวกะเพราเป็ดย่าง</t>
  </si>
  <si>
    <t xml:space="preserve">K014</t>
  </si>
  <si>
    <t xml:space="preserve">มาม่าผัดกะเพราไก่</t>
  </si>
  <si>
    <t xml:space="preserve">เส้น</t>
  </si>
  <si>
    <t xml:space="preserve">K015</t>
  </si>
  <si>
    <t xml:space="preserve">มาม่าต้มยำทรงเครื่อง</t>
  </si>
  <si>
    <t xml:space="preserve">K018</t>
  </si>
  <si>
    <t xml:space="preserve">แกงจืดเต้าหู้หมูสับ</t>
  </si>
  <si>
    <t xml:space="preserve">ซุป</t>
  </si>
  <si>
    <t xml:space="preserve">K019</t>
  </si>
  <si>
    <t xml:space="preserve">ต้มยำกุ้ง</t>
  </si>
  <si>
    <t xml:space="preserve">K048</t>
  </si>
  <si>
    <t xml:space="preserve">ต้มจืด (ถ้วยเล็ก) 🆕</t>
  </si>
  <si>
    <t xml:space="preserve">TBC</t>
  </si>
  <si>
    <t xml:space="preserve">K016</t>
  </si>
  <si>
    <t xml:space="preserve">ไข่กระทะ</t>
  </si>
  <si>
    <t xml:space="preserve">อื่นๆ</t>
  </si>
  <si>
    <t xml:space="preserve">K017</t>
  </si>
  <si>
    <t xml:space="preserve">ข้าวผัดอเมริกัน</t>
  </si>
  <si>
    <t xml:space="preserve">K020</t>
  </si>
  <si>
    <t xml:space="preserve">หมูยอทอด</t>
  </si>
  <si>
    <t xml:space="preserve">ของทานเล่น</t>
  </si>
  <si>
    <t xml:space="preserve">K021</t>
  </si>
  <si>
    <t xml:space="preserve">กุยช่ายกรอบ</t>
  </si>
  <si>
    <t xml:space="preserve">K022</t>
  </si>
  <si>
    <t xml:space="preserve">ไก่คาราเกะทอด</t>
  </si>
  <si>
    <t xml:space="preserve">K023</t>
  </si>
  <si>
    <t xml:space="preserve">ไข่ดาว</t>
  </si>
  <si>
    <t xml:space="preserve">Add-on</t>
  </si>
  <si>
    <t xml:space="preserve">K024</t>
  </si>
  <si>
    <t xml:space="preserve">ไข่เจียว</t>
  </si>
  <si>
    <t xml:space="preserve">K025</t>
  </si>
  <si>
    <t xml:space="preserve">ข้าวสวย</t>
  </si>
  <si>
    <t xml:space="preserve">K026</t>
  </si>
  <si>
    <t xml:space="preserve">กุนเชียง</t>
  </si>
  <si>
    <t xml:space="preserve">K027</t>
  </si>
  <si>
    <t xml:space="preserve">น้ำดื่ม น้ำทิพย์</t>
  </si>
  <si>
    <t xml:space="preserve">เครื่องดื่ม</t>
  </si>
  <si>
    <t xml:space="preserve">K028</t>
  </si>
  <si>
    <t xml:space="preserve">โค้ก</t>
  </si>
  <si>
    <t xml:space="preserve">K029</t>
  </si>
  <si>
    <t xml:space="preserve">โค้กซีโร่</t>
  </si>
  <si>
    <t xml:space="preserve">K030</t>
  </si>
  <si>
    <t xml:space="preserve">ชามะนาว</t>
  </si>
  <si>
    <t xml:space="preserve">K031</t>
  </si>
  <si>
    <t xml:space="preserve">เก๊กฮวย</t>
  </si>
  <si>
    <t xml:space="preserve">K032</t>
  </si>
  <si>
    <t xml:space="preserve">ชาไทย (แก้ว)</t>
  </si>
  <si>
    <t xml:space="preserve">K033</t>
  </si>
  <si>
    <t xml:space="preserve">โอเลี้ยง (แก้ว)</t>
  </si>
  <si>
    <t xml:space="preserve">K034</t>
  </si>
  <si>
    <t xml:space="preserve">ชาดำเย็น (แก้ว)</t>
  </si>
  <si>
    <t xml:space="preserve">K056</t>
  </si>
  <si>
    <t xml:space="preserve">Minere Mineral Water 600ml 🆕</t>
  </si>
  <si>
    <t xml:space="preserve">K035</t>
  </si>
  <si>
    <t xml:space="preserve">สละลอยแก้ว</t>
  </si>
  <si>
    <t xml:space="preserve">ของหวาน</t>
  </si>
  <si>
    <t xml:space="preserve">K036</t>
  </si>
  <si>
    <t xml:space="preserve">ลูกตาลลอยแก้ว</t>
  </si>
  <si>
    <t xml:space="preserve">หมายเหตุ:</t>
  </si>
  <si>
    <t xml:space="preserve">• ราคา inc-VAT 7% | ต้นทุนและ FC% อ้างอิงข้อมูล ops ล่าสุด | FC% คำนวณจากราคาใหม่ถ้ามี ไม่งั้นใช้ราคาปัจจุบัน</t>
  </si>
  <si>
    <t xml:space="preserve">• K048 ต้มจืด ฿40 = รายการใหม่ (แถวเหลือง) — ต้องสร้าง item ใน NetSuite และตั้งราคาใน Zoku POS ก่อนขาย, ต้นทุนรอคำนวณสูตร</t>
  </si>
  <si>
    <t xml:space="preserve">• K056 Minere ยังไม่มีต้นทุนใน NetSuite | ราคาใหม่คอลัมน์ E คือราคาที่อนุมัติแล้วแต่รอกดใน Zoku POS</t>
  </si>
  <si>
    <t xml:space="preserve">• รหัส K048 คือรหัสว่างถัดไป (K049–K055 ยังว่าง) | ที่มา: khiang-ops + NetSuite 5–11 ก.ค.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</si>
</sst>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551FE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5551FE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7" min="4" style="0" width="1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3" t="s">
        <v>9</v>
      </c>
      <c r="D2" s="4" t="n">
        <v>105</v>
      </c>
      <c r="E2" s="4" t="n">
        <v>119</v>
      </c>
      <c r="F2" s="4" t="n">
        <v>29.19</v>
      </c>
      <c r="G2" s="5" t="n">
        <f aca="false">F2/(IF(E2="—",D2,E2)/1.07)</f>
        <v>0.262464705882353</v>
      </c>
    </row>
    <row r="3" customFormat="false" ht="15" hidden="false" customHeight="false" outlineLevel="0" collapsed="false">
      <c r="A3" s="2" t="s">
        <v>10</v>
      </c>
      <c r="B3" s="3" t="s">
        <v>11</v>
      </c>
      <c r="C3" s="3" t="s">
        <v>9</v>
      </c>
      <c r="D3" s="4" t="n">
        <v>105</v>
      </c>
      <c r="E3" s="4" t="n">
        <v>119</v>
      </c>
      <c r="F3" s="4" t="n">
        <v>27.02</v>
      </c>
      <c r="G3" s="5" t="n">
        <f aca="false">F3/(IF(E3="—",D3,E3)/1.07)</f>
        <v>0.242952941176471</v>
      </c>
    </row>
    <row r="4" customFormat="false" ht="15" hidden="false" customHeight="false" outlineLevel="0" collapsed="false">
      <c r="A4" s="2" t="s">
        <v>12</v>
      </c>
      <c r="B4" s="3" t="s">
        <v>13</v>
      </c>
      <c r="C4" s="3" t="s">
        <v>9</v>
      </c>
      <c r="D4" s="4" t="n">
        <v>110</v>
      </c>
      <c r="E4" s="4" t="n">
        <v>119</v>
      </c>
      <c r="F4" s="4" t="n">
        <v>25.86</v>
      </c>
      <c r="G4" s="5" t="n">
        <f aca="false">F4/(IF(E4="—",D4,E4)/1.07)</f>
        <v>0.23252268907563</v>
      </c>
    </row>
    <row r="5" customFormat="false" ht="15" hidden="false" customHeight="false" outlineLevel="0" collapsed="false">
      <c r="A5" s="2" t="s">
        <v>14</v>
      </c>
      <c r="B5" s="3" t="s">
        <v>15</v>
      </c>
      <c r="C5" s="3" t="s">
        <v>9</v>
      </c>
      <c r="D5" s="4" t="n">
        <v>110</v>
      </c>
      <c r="E5" s="4" t="n">
        <v>119</v>
      </c>
      <c r="F5" s="4" t="n">
        <v>33.06</v>
      </c>
      <c r="G5" s="5" t="n">
        <f aca="false">F5/(IF(E5="—",D5,E5)/1.07)</f>
        <v>0.29726218487395</v>
      </c>
    </row>
    <row r="6" customFormat="false" ht="15" hidden="false" customHeight="false" outlineLevel="0" collapsed="false">
      <c r="A6" s="2" t="s">
        <v>16</v>
      </c>
      <c r="B6" s="3" t="s">
        <v>17</v>
      </c>
      <c r="C6" s="3" t="s">
        <v>9</v>
      </c>
      <c r="D6" s="4" t="n">
        <v>95</v>
      </c>
      <c r="E6" s="4" t="n">
        <v>105</v>
      </c>
      <c r="F6" s="4" t="n">
        <v>25.61</v>
      </c>
      <c r="G6" s="5" t="n">
        <f aca="false">F6/(IF(E6="—",D6,E6)/1.07)</f>
        <v>0.260978095238095</v>
      </c>
    </row>
    <row r="7" customFormat="false" ht="15" hidden="false" customHeight="false" outlineLevel="0" collapsed="false">
      <c r="A7" s="2" t="s">
        <v>18</v>
      </c>
      <c r="B7" s="3" t="s">
        <v>19</v>
      </c>
      <c r="C7" s="3" t="s">
        <v>9</v>
      </c>
      <c r="D7" s="4" t="n">
        <v>110</v>
      </c>
      <c r="E7" s="4" t="n">
        <v>119</v>
      </c>
      <c r="F7" s="4" t="n">
        <v>25.13</v>
      </c>
      <c r="G7" s="5" t="n">
        <f aca="false">F7/(IF(E7="—",D7,E7)/1.07)</f>
        <v>0.225958823529412</v>
      </c>
    </row>
    <row r="8" customFormat="false" ht="15" hidden="false" customHeight="false" outlineLevel="0" collapsed="false">
      <c r="A8" s="2" t="s">
        <v>20</v>
      </c>
      <c r="B8" s="3" t="s">
        <v>21</v>
      </c>
      <c r="C8" s="3" t="s">
        <v>9</v>
      </c>
      <c r="D8" s="4" t="n">
        <v>110</v>
      </c>
      <c r="E8" s="4" t="n">
        <v>119</v>
      </c>
      <c r="F8" s="4" t="n">
        <v>32.33</v>
      </c>
      <c r="G8" s="5" t="n">
        <f aca="false">F8/(IF(E8="—",D8,E8)/1.07)</f>
        <v>0.290698319327731</v>
      </c>
    </row>
    <row r="9" customFormat="false" ht="15" hidden="false" customHeight="false" outlineLevel="0" collapsed="false">
      <c r="A9" s="2" t="s">
        <v>22</v>
      </c>
      <c r="B9" s="3" t="s">
        <v>23</v>
      </c>
      <c r="C9" s="3" t="s">
        <v>9</v>
      </c>
      <c r="D9" s="4" t="n">
        <v>110</v>
      </c>
      <c r="E9" s="4" t="n">
        <v>119</v>
      </c>
      <c r="F9" s="4" t="n">
        <v>30.21</v>
      </c>
      <c r="G9" s="5" t="n">
        <f aca="false">F9/(IF(E9="—",D9,E9)/1.07)</f>
        <v>0.271636134453782</v>
      </c>
    </row>
    <row r="10" customFormat="false" ht="15" hidden="false" customHeight="false" outlineLevel="0" collapsed="false">
      <c r="A10" s="2" t="s">
        <v>24</v>
      </c>
      <c r="B10" s="3" t="s">
        <v>25</v>
      </c>
      <c r="C10" s="3" t="s">
        <v>26</v>
      </c>
      <c r="D10" s="4" t="n">
        <v>195</v>
      </c>
      <c r="E10" s="4" t="s">
        <v>27</v>
      </c>
      <c r="F10" s="4" t="n">
        <v>42.47</v>
      </c>
      <c r="G10" s="5" t="n">
        <f aca="false">F10/(IF(E10="—",D10,E10)/1.07)</f>
        <v>0.233040512820513</v>
      </c>
    </row>
    <row r="11" customFormat="false" ht="15" hidden="false" customHeight="false" outlineLevel="0" collapsed="false">
      <c r="A11" s="2" t="s">
        <v>28</v>
      </c>
      <c r="B11" s="3" t="s">
        <v>29</v>
      </c>
      <c r="C11" s="3" t="s">
        <v>26</v>
      </c>
      <c r="D11" s="4" t="n">
        <v>160</v>
      </c>
      <c r="E11" s="4" t="s">
        <v>27</v>
      </c>
      <c r="F11" s="4" t="n">
        <v>37.89</v>
      </c>
      <c r="G11" s="5" t="n">
        <f aca="false">F11/(IF(E11="—",D11,E11)/1.07)</f>
        <v>0.253389375</v>
      </c>
    </row>
    <row r="12" customFormat="false" ht="15" hidden="false" customHeight="false" outlineLevel="0" collapsed="false">
      <c r="A12" s="2" t="s">
        <v>30</v>
      </c>
      <c r="B12" s="3" t="s">
        <v>31</v>
      </c>
      <c r="C12" s="3" t="s">
        <v>26</v>
      </c>
      <c r="D12" s="4" t="n">
        <v>160</v>
      </c>
      <c r="E12" s="4" t="s">
        <v>27</v>
      </c>
      <c r="F12" s="4" t="n">
        <v>38.93</v>
      </c>
      <c r="G12" s="5" t="n">
        <f aca="false">F12/(IF(E12="—",D12,E12)/1.07)</f>
        <v>0.260344375</v>
      </c>
    </row>
    <row r="13" customFormat="false" ht="15" hidden="false" customHeight="false" outlineLevel="0" collapsed="false">
      <c r="A13" s="2" t="s">
        <v>32</v>
      </c>
      <c r="B13" s="3" t="s">
        <v>33</v>
      </c>
      <c r="C13" s="3" t="s">
        <v>26</v>
      </c>
      <c r="D13" s="4" t="n">
        <v>115</v>
      </c>
      <c r="E13" s="4" t="n">
        <v>139</v>
      </c>
      <c r="F13" s="4" t="n">
        <v>32.17</v>
      </c>
      <c r="G13" s="5" t="n">
        <f aca="false">F13/(IF(E13="—",D13,E13)/1.07)</f>
        <v>0.247639568345324</v>
      </c>
    </row>
    <row r="14" customFormat="false" ht="15" hidden="false" customHeight="false" outlineLevel="0" collapsed="false">
      <c r="A14" s="2" t="s">
        <v>34</v>
      </c>
      <c r="B14" s="3" t="s">
        <v>35</v>
      </c>
      <c r="C14" s="3" t="s">
        <v>36</v>
      </c>
      <c r="D14" s="4" t="n">
        <v>100</v>
      </c>
      <c r="E14" s="4" t="s">
        <v>27</v>
      </c>
      <c r="F14" s="4" t="n">
        <v>31.79</v>
      </c>
      <c r="G14" s="5" t="n">
        <f aca="false">F14/(IF(E14="—",D14,E14)/1.07)</f>
        <v>0.340153</v>
      </c>
    </row>
    <row r="15" customFormat="false" ht="15" hidden="false" customHeight="false" outlineLevel="0" collapsed="false">
      <c r="A15" s="2" t="s">
        <v>37</v>
      </c>
      <c r="B15" s="3" t="s">
        <v>38</v>
      </c>
      <c r="C15" s="3" t="s">
        <v>36</v>
      </c>
      <c r="D15" s="4" t="n">
        <v>290</v>
      </c>
      <c r="E15" s="4" t="s">
        <v>27</v>
      </c>
      <c r="F15" s="4" t="n">
        <v>94.79</v>
      </c>
      <c r="G15" s="5" t="n">
        <f aca="false">F15/(IF(E15="—",D15,E15)/1.07)</f>
        <v>0.349742413793104</v>
      </c>
    </row>
    <row r="16" customFormat="false" ht="15" hidden="false" customHeight="false" outlineLevel="0" collapsed="false">
      <c r="A16" s="2" t="s">
        <v>39</v>
      </c>
      <c r="B16" s="3" t="s">
        <v>40</v>
      </c>
      <c r="C16" s="3" t="s">
        <v>41</v>
      </c>
      <c r="D16" s="4" t="n">
        <v>105</v>
      </c>
      <c r="E16" s="4" t="s">
        <v>27</v>
      </c>
      <c r="F16" s="4" t="n">
        <v>31.67</v>
      </c>
      <c r="G16" s="5" t="n">
        <f aca="false">F16/(IF(E16="—",D16,E16)/1.07)</f>
        <v>0.322732380952381</v>
      </c>
    </row>
    <row r="17" customFormat="false" ht="15" hidden="false" customHeight="false" outlineLevel="0" collapsed="false">
      <c r="A17" s="2" t="s">
        <v>42</v>
      </c>
      <c r="B17" s="3" t="s">
        <v>43</v>
      </c>
      <c r="C17" s="3" t="s">
        <v>41</v>
      </c>
      <c r="D17" s="4" t="n">
        <v>230</v>
      </c>
      <c r="E17" s="4" t="s">
        <v>27</v>
      </c>
      <c r="F17" s="4" t="n">
        <v>83.17</v>
      </c>
      <c r="G17" s="5" t="n">
        <f aca="false">F17/(IF(E17="—",D17,E17)/1.07)</f>
        <v>0.386921304347826</v>
      </c>
    </row>
    <row r="18" customFormat="false" ht="15" hidden="false" customHeight="false" outlineLevel="0" collapsed="false">
      <c r="A18" s="6" t="s">
        <v>44</v>
      </c>
      <c r="B18" s="7" t="s">
        <v>45</v>
      </c>
      <c r="C18" s="7" t="s">
        <v>41</v>
      </c>
      <c r="D18" s="8" t="n">
        <v>40</v>
      </c>
      <c r="E18" s="8" t="s">
        <v>27</v>
      </c>
      <c r="F18" s="8" t="s">
        <v>46</v>
      </c>
      <c r="G18" s="8" t="s">
        <v>46</v>
      </c>
    </row>
    <row r="19" customFormat="false" ht="15" hidden="false" customHeight="false" outlineLevel="0" collapsed="false">
      <c r="A19" s="2" t="s">
        <v>47</v>
      </c>
      <c r="B19" s="3" t="s">
        <v>48</v>
      </c>
      <c r="C19" s="3" t="s">
        <v>49</v>
      </c>
      <c r="D19" s="4" t="n">
        <v>120</v>
      </c>
      <c r="E19" s="4" t="s">
        <v>27</v>
      </c>
      <c r="F19" s="4" t="n">
        <v>39.4</v>
      </c>
      <c r="G19" s="5" t="n">
        <f aca="false">F19/(IF(E19="—",D19,E19)/1.07)</f>
        <v>0.351316666666667</v>
      </c>
    </row>
    <row r="20" customFormat="false" ht="15" hidden="false" customHeight="false" outlineLevel="0" collapsed="false">
      <c r="A20" s="2" t="s">
        <v>50</v>
      </c>
      <c r="B20" s="3" t="s">
        <v>51</v>
      </c>
      <c r="C20" s="3" t="s">
        <v>49</v>
      </c>
      <c r="D20" s="4" t="n">
        <v>125</v>
      </c>
      <c r="E20" s="4" t="s">
        <v>27</v>
      </c>
      <c r="F20" s="4" t="n">
        <v>42.4</v>
      </c>
      <c r="G20" s="5" t="n">
        <f aca="false">F20/(IF(E20="—",D20,E20)/1.07)</f>
        <v>0.362944</v>
      </c>
    </row>
    <row r="21" customFormat="false" ht="15" hidden="false" customHeight="false" outlineLevel="0" collapsed="false">
      <c r="A21" s="2" t="s">
        <v>52</v>
      </c>
      <c r="B21" s="3" t="s">
        <v>53</v>
      </c>
      <c r="C21" s="3" t="s">
        <v>54</v>
      </c>
      <c r="D21" s="4" t="n">
        <v>35</v>
      </c>
      <c r="E21" s="4" t="s">
        <v>27</v>
      </c>
      <c r="F21" s="4" t="n">
        <v>20.47</v>
      </c>
      <c r="G21" s="5" t="n">
        <f aca="false">F21/(IF(E21="—",D21,E21)/1.07)</f>
        <v>0.625797142857143</v>
      </c>
    </row>
    <row r="22" customFormat="false" ht="15" hidden="false" customHeight="false" outlineLevel="0" collapsed="false">
      <c r="A22" s="2" t="s">
        <v>55</v>
      </c>
      <c r="B22" s="3" t="s">
        <v>56</v>
      </c>
      <c r="C22" s="3" t="s">
        <v>54</v>
      </c>
      <c r="D22" s="4" t="n">
        <v>85</v>
      </c>
      <c r="E22" s="4" t="s">
        <v>27</v>
      </c>
      <c r="F22" s="4" t="n">
        <v>22.07</v>
      </c>
      <c r="G22" s="5" t="n">
        <f aca="false">F22/(IF(E22="—",D22,E22)/1.07)</f>
        <v>0.277822352941177</v>
      </c>
    </row>
    <row r="23" customFormat="false" ht="15" hidden="false" customHeight="false" outlineLevel="0" collapsed="false">
      <c r="A23" s="2" t="s">
        <v>57</v>
      </c>
      <c r="B23" s="3" t="s">
        <v>58</v>
      </c>
      <c r="C23" s="3" t="s">
        <v>54</v>
      </c>
      <c r="D23" s="4" t="n">
        <v>95</v>
      </c>
      <c r="E23" s="4" t="s">
        <v>27</v>
      </c>
      <c r="F23" s="4" t="n">
        <v>28.57</v>
      </c>
      <c r="G23" s="5" t="n">
        <f aca="false">F23/(IF(E23="—",D23,E23)/1.07)</f>
        <v>0.321788421052632</v>
      </c>
    </row>
    <row r="24" customFormat="false" ht="15" hidden="false" customHeight="false" outlineLevel="0" collapsed="false">
      <c r="A24" s="2" t="s">
        <v>59</v>
      </c>
      <c r="B24" s="3" t="s">
        <v>60</v>
      </c>
      <c r="C24" s="3" t="s">
        <v>61</v>
      </c>
      <c r="D24" s="4" t="n">
        <v>18</v>
      </c>
      <c r="E24" s="4" t="n">
        <v>20</v>
      </c>
      <c r="F24" s="4" t="n">
        <v>7</v>
      </c>
      <c r="G24" s="5" t="n">
        <f aca="false">F24/(IF(E24="—",D24,E24)/1.07)</f>
        <v>0.3745</v>
      </c>
    </row>
    <row r="25" customFormat="false" ht="15" hidden="false" customHeight="false" outlineLevel="0" collapsed="false">
      <c r="A25" s="2" t="s">
        <v>62</v>
      </c>
      <c r="B25" s="3" t="s">
        <v>63</v>
      </c>
      <c r="C25" s="3" t="s">
        <v>61</v>
      </c>
      <c r="D25" s="4" t="n">
        <v>18</v>
      </c>
      <c r="E25" s="4" t="n">
        <v>20</v>
      </c>
      <c r="F25" s="4" t="n">
        <v>7</v>
      </c>
      <c r="G25" s="5" t="n">
        <f aca="false">F25/(IF(E25="—",D25,E25)/1.07)</f>
        <v>0.3745</v>
      </c>
    </row>
    <row r="26" customFormat="false" ht="15" hidden="false" customHeight="false" outlineLevel="0" collapsed="false">
      <c r="A26" s="2" t="s">
        <v>64</v>
      </c>
      <c r="B26" s="3" t="s">
        <v>65</v>
      </c>
      <c r="C26" s="3" t="s">
        <v>61</v>
      </c>
      <c r="D26" s="4" t="n">
        <v>18</v>
      </c>
      <c r="E26" s="4" t="s">
        <v>27</v>
      </c>
      <c r="F26" s="4" t="n">
        <v>4.1</v>
      </c>
      <c r="G26" s="5" t="n">
        <f aca="false">F26/(IF(E26="—",D26,E26)/1.07)</f>
        <v>0.243722222222222</v>
      </c>
    </row>
    <row r="27" customFormat="false" ht="15" hidden="false" customHeight="false" outlineLevel="0" collapsed="false">
      <c r="A27" s="2" t="s">
        <v>66</v>
      </c>
      <c r="B27" s="3" t="s">
        <v>67</v>
      </c>
      <c r="C27" s="3" t="s">
        <v>61</v>
      </c>
      <c r="D27" s="4" t="n">
        <v>18</v>
      </c>
      <c r="E27" s="4" t="s">
        <v>27</v>
      </c>
      <c r="F27" s="4" t="n">
        <v>10.55</v>
      </c>
      <c r="G27" s="5" t="n">
        <f aca="false">F27/(IF(E27="—",D27,E27)/1.07)</f>
        <v>0.627138888888889</v>
      </c>
    </row>
    <row r="28" customFormat="false" ht="15" hidden="false" customHeight="false" outlineLevel="0" collapsed="false">
      <c r="A28" s="2" t="s">
        <v>68</v>
      </c>
      <c r="B28" s="3" t="s">
        <v>69</v>
      </c>
      <c r="C28" s="3" t="s">
        <v>70</v>
      </c>
      <c r="D28" s="4" t="n">
        <v>10</v>
      </c>
      <c r="E28" s="4" t="s">
        <v>27</v>
      </c>
      <c r="F28" s="4" t="n">
        <v>4.27</v>
      </c>
      <c r="G28" s="5" t="n">
        <f aca="false">F28/(IF(E28="—",D28,E28)/1.07)</f>
        <v>0.45689</v>
      </c>
    </row>
    <row r="29" customFormat="false" ht="15" hidden="false" customHeight="false" outlineLevel="0" collapsed="false">
      <c r="A29" s="2" t="s">
        <v>71</v>
      </c>
      <c r="B29" s="3" t="s">
        <v>72</v>
      </c>
      <c r="C29" s="3" t="s">
        <v>70</v>
      </c>
      <c r="D29" s="4" t="n">
        <v>59</v>
      </c>
      <c r="E29" s="4" t="s">
        <v>27</v>
      </c>
      <c r="F29" s="4" t="n">
        <v>13.54</v>
      </c>
      <c r="G29" s="5" t="n">
        <f aca="false">F29/(IF(E29="—",D29,E29)/1.07)</f>
        <v>0.24555593220339</v>
      </c>
    </row>
    <row r="30" customFormat="false" ht="15" hidden="false" customHeight="false" outlineLevel="0" collapsed="false">
      <c r="A30" s="2" t="s">
        <v>73</v>
      </c>
      <c r="B30" s="3" t="s">
        <v>74</v>
      </c>
      <c r="C30" s="3" t="s">
        <v>70</v>
      </c>
      <c r="D30" s="4" t="n">
        <v>55</v>
      </c>
      <c r="E30" s="4" t="s">
        <v>27</v>
      </c>
      <c r="F30" s="4" t="n">
        <v>13.54</v>
      </c>
      <c r="G30" s="5" t="n">
        <f aca="false">F30/(IF(E30="—",D30,E30)/1.07)</f>
        <v>0.263414545454545</v>
      </c>
    </row>
    <row r="31" customFormat="false" ht="15" hidden="false" customHeight="false" outlineLevel="0" collapsed="false">
      <c r="A31" s="2" t="s">
        <v>75</v>
      </c>
      <c r="B31" s="3" t="s">
        <v>76</v>
      </c>
      <c r="C31" s="3" t="s">
        <v>70</v>
      </c>
      <c r="D31" s="4" t="n">
        <v>55</v>
      </c>
      <c r="E31" s="4" t="s">
        <v>27</v>
      </c>
      <c r="F31" s="4" t="n">
        <v>17.56</v>
      </c>
      <c r="G31" s="5" t="n">
        <f aca="false">F31/(IF(E31="—",D31,E31)/1.07)</f>
        <v>0.341621818181818</v>
      </c>
    </row>
    <row r="32" customFormat="false" ht="15" hidden="false" customHeight="false" outlineLevel="0" collapsed="false">
      <c r="A32" s="2" t="s">
        <v>77</v>
      </c>
      <c r="B32" s="3" t="s">
        <v>78</v>
      </c>
      <c r="C32" s="3" t="s">
        <v>70</v>
      </c>
      <c r="D32" s="4" t="n">
        <v>55</v>
      </c>
      <c r="E32" s="4" t="s">
        <v>27</v>
      </c>
      <c r="F32" s="4" t="n">
        <v>11.22</v>
      </c>
      <c r="G32" s="5" t="n">
        <f aca="false">F32/(IF(E32="—",D32,E32)/1.07)</f>
        <v>0.21828</v>
      </c>
    </row>
    <row r="33" customFormat="false" ht="15" hidden="false" customHeight="false" outlineLevel="0" collapsed="false">
      <c r="A33" s="2" t="s">
        <v>79</v>
      </c>
      <c r="B33" s="3" t="s">
        <v>80</v>
      </c>
      <c r="C33" s="3" t="s">
        <v>70</v>
      </c>
      <c r="D33" s="4" t="n">
        <v>55</v>
      </c>
      <c r="E33" s="4" t="s">
        <v>27</v>
      </c>
      <c r="F33" s="4" t="n">
        <v>16.59</v>
      </c>
      <c r="G33" s="5" t="n">
        <f aca="false">F33/(IF(E33="—",D33,E33)/1.07)</f>
        <v>0.322750909090909</v>
      </c>
    </row>
    <row r="34" customFormat="false" ht="15" hidden="false" customHeight="false" outlineLevel="0" collapsed="false">
      <c r="A34" s="2" t="s">
        <v>81</v>
      </c>
      <c r="B34" s="3" t="s">
        <v>82</v>
      </c>
      <c r="C34" s="3" t="s">
        <v>70</v>
      </c>
      <c r="D34" s="4" t="n">
        <v>35</v>
      </c>
      <c r="E34" s="4" t="s">
        <v>27</v>
      </c>
      <c r="F34" s="4" t="n">
        <v>13.91</v>
      </c>
      <c r="G34" s="5" t="n">
        <f aca="false">F34/(IF(E34="—",D34,E34)/1.07)</f>
        <v>0.425248571428572</v>
      </c>
    </row>
    <row r="35" customFormat="false" ht="15" hidden="false" customHeight="false" outlineLevel="0" collapsed="false">
      <c r="A35" s="2" t="s">
        <v>83</v>
      </c>
      <c r="B35" s="3" t="s">
        <v>84</v>
      </c>
      <c r="C35" s="3" t="s">
        <v>70</v>
      </c>
      <c r="D35" s="4" t="n">
        <v>35</v>
      </c>
      <c r="E35" s="4" t="s">
        <v>27</v>
      </c>
      <c r="F35" s="4" t="n">
        <v>13.67</v>
      </c>
      <c r="G35" s="5" t="n">
        <f aca="false">F35/(IF(E35="—",D35,E35)/1.07)</f>
        <v>0.417911428571429</v>
      </c>
    </row>
    <row r="36" customFormat="false" ht="15" hidden="false" customHeight="false" outlineLevel="0" collapsed="false">
      <c r="A36" s="6" t="s">
        <v>85</v>
      </c>
      <c r="B36" s="7" t="s">
        <v>86</v>
      </c>
      <c r="C36" s="7" t="s">
        <v>70</v>
      </c>
      <c r="D36" s="8" t="s">
        <v>46</v>
      </c>
      <c r="E36" s="8" t="s">
        <v>27</v>
      </c>
      <c r="F36" s="8" t="s">
        <v>46</v>
      </c>
      <c r="G36" s="8" t="s">
        <v>46</v>
      </c>
    </row>
    <row r="37" customFormat="false" ht="15" hidden="false" customHeight="false" outlineLevel="0" collapsed="false">
      <c r="A37" s="2" t="s">
        <v>87</v>
      </c>
      <c r="B37" s="3" t="s">
        <v>88</v>
      </c>
      <c r="C37" s="3" t="s">
        <v>89</v>
      </c>
      <c r="D37" s="4" t="n">
        <v>50</v>
      </c>
      <c r="E37" s="4" t="s">
        <v>27</v>
      </c>
      <c r="F37" s="4" t="n">
        <v>29.31</v>
      </c>
      <c r="G37" s="5" t="n">
        <f aca="false">F37/(IF(E37="—",D37,E37)/1.07)</f>
        <v>0.627234</v>
      </c>
    </row>
    <row r="38" customFormat="false" ht="15" hidden="false" customHeight="false" outlineLevel="0" collapsed="false">
      <c r="A38" s="2" t="s">
        <v>90</v>
      </c>
      <c r="B38" s="3" t="s">
        <v>91</v>
      </c>
      <c r="C38" s="3" t="s">
        <v>89</v>
      </c>
      <c r="D38" s="4" t="n">
        <v>50</v>
      </c>
      <c r="E38" s="4" t="s">
        <v>27</v>
      </c>
      <c r="F38" s="4" t="n">
        <v>29.31</v>
      </c>
      <c r="G38" s="5" t="n">
        <f aca="false">F38/(IF(E38="—",D38,E38)/1.07)</f>
        <v>0.627234</v>
      </c>
    </row>
    <row r="40" customFormat="false" ht="15" hidden="false" customHeight="false" outlineLevel="0" collapsed="false">
      <c r="A40" s="9" t="s">
        <v>92</v>
      </c>
    </row>
    <row r="41" customFormat="false" ht="15" hidden="false" customHeight="false" outlineLevel="0" collapsed="false">
      <c r="A41" s="10" t="s">
        <v>93</v>
      </c>
    </row>
    <row r="42" customFormat="false" ht="15" hidden="false" customHeight="false" outlineLevel="0" collapsed="false">
      <c r="A42" s="10" t="s">
        <v>94</v>
      </c>
    </row>
    <row r="43" customFormat="false" ht="15" hidden="false" customHeight="false" outlineLevel="0" collapsed="false">
      <c r="A43" s="10" t="s">
        <v>95</v>
      </c>
    </row>
    <row r="44" customFormat="false" ht="15" hidden="false" customHeight="false" outlineLevel="0" collapsed="false">
      <c r="A44" s="10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2026-07-14T09:32:27Z</dcterms:created>
  <dc:creator>openpyxl</dc:creator>
  <dc:description/>
  <dc:language>en-US</dc:language>
  <cp:lastModifiedBy/>
  <dcterms:modified xsi:type="dcterms:W3CDTF">2026-07-14T09:32:27Z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