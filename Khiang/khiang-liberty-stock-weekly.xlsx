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 รายสัปดาห์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<sst xmlns="http://schemas.openxmlformats.org/spreadsheetml/2006/main" count="158" uniqueCount="96">
  <si>
    <t xml:space="preserve">Khiang Liberty Square — Stock List ต่อสัปดาห์</t>
  </si>
  <si>
    <t xml:space="preserve">อิงยอดขายจริง 20–25 ส.ค. 2026 (run-rate ~฿19–20K/วันธรรมดา) · เผื่อ buffer 20% · ถ้ายอดโตถึงเป้า 33–35K/วัน ให้คูณ ~1.7</t>
  </si>
  <si>
    <t xml:space="preserve">หมวด</t>
  </si>
  <si>
    <t xml:space="preserve">รายการ</t>
  </si>
  <si>
    <t xml:space="preserve">หน่วย</t>
  </si>
  <si>
    <t xml:space="preserve">ใช้/วัน</t>
  </si>
  <si>
    <t xml:space="preserve">ใช้/สัปดาห์</t>
  </si>
  <si>
    <t xml:space="preserve">+Buffer 20%</t>
  </si>
  <si>
    <t xml:space="preserve">ขนาดแพ็ค</t>
  </si>
  <si>
    <t xml:space="preserve">สั่ง/สัปดาห์ (แพ็ค)</t>
  </si>
  <si>
    <t xml:space="preserve">หมายเหตุ</t>
  </si>
  <si>
    <t xml:space="preserve">เนื้อสัตว์</t>
  </si>
  <si>
    <t xml:space="preserve">หมูสับ</t>
  </si>
  <si>
    <t xml:space="preserve">กก.</t>
  </si>
  <si>
    <t xml:space="preserve">แพ็ค 1 กก.</t>
  </si>
  <si>
    <t xml:space="preserve">K037/K043/K084/K086/K102/K008/แกงจืด — ใช้เยอะสุด</t>
  </si>
  <si>
    <t xml:space="preserve">ไก่ชิ้น</t>
  </si>
  <si>
    <t xml:space="preserve">แพ็ค 500 g</t>
  </si>
  <si>
    <t xml:space="preserve">K038/K014/K110/สุกี้/ซีอิ๊ว</t>
  </si>
  <si>
    <t xml:space="preserve">หมูสามชั้น (ทอด)</t>
  </si>
  <si>
    <t xml:space="preserve">K121 ขายดีสุดของร้าน — หมัก/ทอด batch</t>
  </si>
  <si>
    <t xml:space="preserve">หมูชิ้น</t>
  </si>
  <si>
    <t xml:space="preserve">กระเทียม/น้ำมันหอย/สุกี้/ผัดซีอิ๊ว</t>
  </si>
  <si>
    <t xml:space="preserve">เนื้อโคขุน (ดิบเถื่อน)</t>
  </si>
  <si>
    <t xml:space="preserve">แพ็ค 300 g</t>
  </si>
  <si>
    <t xml:space="preserve">K042/K083</t>
  </si>
  <si>
    <t xml:space="preserve">เนื้อย่าง (จานพรีเมียม 250)</t>
  </si>
  <si>
    <t xml:space="preserve">K107/K108/K109</t>
  </si>
  <si>
    <t xml:space="preserve">หมูกรอบ</t>
  </si>
  <si>
    <t xml:space="preserve">K103-K106/K150</t>
  </si>
  <si>
    <t xml:space="preserve">ไก่ทอด (หมัก)</t>
  </si>
  <si>
    <t xml:space="preserve">K101/K131</t>
  </si>
  <si>
    <t xml:space="preserve">เครื่องในไก่</t>
  </si>
  <si>
    <t xml:space="preserve">K082</t>
  </si>
  <si>
    <t xml:space="preserve">เป็ดย่าง</t>
  </si>
  <si>
    <t xml:space="preserve">K045</t>
  </si>
  <si>
    <t xml:space="preserve">ทะเล</t>
  </si>
  <si>
    <t xml:space="preserve">ปลาหมึก</t>
  </si>
  <si>
    <t xml:space="preserve">K080/K081/K091/K094</t>
  </si>
  <si>
    <t xml:space="preserve">กุ้ง IQF</t>
  </si>
  <si>
    <t xml:space="preserve">ตัว</t>
  </si>
  <si>
    <t xml:space="preserve">แพ็ค ~25 ตัว (500 g)</t>
  </si>
  <si>
    <t xml:space="preserve">K091 โคตรเจ้าสมุทร/K148</t>
  </si>
  <si>
    <t xml:space="preserve">ไข่</t>
  </si>
  <si>
    <t xml:space="preserve">ไข่ไก่</t>
  </si>
  <si>
    <t xml:space="preserve">ฟอง</t>
  </si>
  <si>
    <t xml:space="preserve">แผง 30 ฟอง</t>
  </si>
  <si>
    <t xml:space="preserve">ดาว+เจียว+ยู่ยี่+ต้ม — ครึ่งหนึ่งใช้ช่วงพีค 11-14 น.</t>
  </si>
  <si>
    <t xml:space="preserve">ไข่เป็ด</t>
  </si>
  <si>
    <t xml:space="preserve">จานเนื้อ 250 — ห้ามขาด par ขั้นต่ำ 12 ฟอง</t>
  </si>
  <si>
    <t xml:space="preserve">ของแปรรูป</t>
  </si>
  <si>
    <t xml:space="preserve">หมูยอ</t>
  </si>
  <si>
    <t xml:space="preserve">แท่ง 500 g</t>
  </si>
  <si>
    <t xml:space="preserve">เทพหมู/หมูยอนึ่ง/2รัก</t>
  </si>
  <si>
    <t xml:space="preserve">กุนเชียง</t>
  </si>
  <si>
    <t xml:space="preserve">เทพหมู/ข้าวผัดโบราณ</t>
  </si>
  <si>
    <t xml:space="preserve">ลูกชิ้นเขียง</t>
  </si>
  <si>
    <t xml:space="preserve">K060/K061 ~5 จาน/วัน</t>
  </si>
  <si>
    <t xml:space="preserve">กุยช่าย</t>
  </si>
  <si>
    <t xml:space="preserve">K021/K057 ~9 จาน/วัน</t>
  </si>
  <si>
    <t xml:space="preserve">ขนมจีบ</t>
  </si>
  <si>
    <t xml:space="preserve">ชิ้น</t>
  </si>
  <si>
    <t xml:space="preserve">แพ็ค 30 ชิ้น</t>
  </si>
  <si>
    <t xml:space="preserve">K130</t>
  </si>
  <si>
    <t xml:space="preserve">ผัก/ของสด</t>
  </si>
  <si>
    <t xml:space="preserve">ใบกะเพรา</t>
  </si>
  <si>
    <t xml:space="preserve">ถุง 1 กก.</t>
  </si>
  <si>
    <t xml:space="preserve">จานกะเพรา ~45 จาน/วัน</t>
  </si>
  <si>
    <t xml:space="preserve">คะน้า</t>
  </si>
  <si>
    <t xml:space="preserve">K092/K106/K128 + ข้าวผัดโบราณ</t>
  </si>
  <si>
    <t xml:space="preserve">ผักบุ้ง</t>
  </si>
  <si>
    <t xml:space="preserve">K093/K105/K129</t>
  </si>
  <si>
    <t xml:space="preserve">พริก+กระเทียม</t>
  </si>
  <si>
    <t xml:space="preserve">ทุกจานผัด</t>
  </si>
  <si>
    <t xml:space="preserve">ข้าว/เส้น</t>
  </si>
  <si>
    <t xml:space="preserve">ข้าวสาร</t>
  </si>
  <si>
    <t xml:space="preserve">ถุง 15 กก.</t>
  </si>
  <si>
    <t xml:space="preserve">~75 จานข้าว/วัน</t>
  </si>
  <si>
    <t xml:space="preserve">มาม่า</t>
  </si>
  <si>
    <t xml:space="preserve">ห่อ</t>
  </si>
  <si>
    <t xml:space="preserve">ลัง 90 ห่อ</t>
  </si>
  <si>
    <t xml:space="preserve">K014/K119/K120/K121/K015</t>
  </si>
  <si>
    <t xml:space="preserve">เส้นใหญ่/วุ้นเส้น/ก๋วยเตี๋ยว</t>
  </si>
  <si>
    <t xml:space="preserve">K110/K115-K118/K122</t>
  </si>
  <si>
    <t xml:space="preserve">เครื่องดื่ม</t>
  </si>
  <si>
    <t xml:space="preserve">น้ำดื่มน้ำทิพย์</t>
  </si>
  <si>
    <t xml:space="preserve">ขวด</t>
  </si>
  <si>
    <t xml:space="preserve">แพ็ค 12 ขวด</t>
  </si>
  <si>
    <t xml:space="preserve">ขายดีสุดของร้าน</t>
  </si>
  <si>
    <t xml:space="preserve">โค้ก 500ml (ปกติ+ซีโร่)</t>
  </si>
  <si>
    <t xml:space="preserve">K135/K136</t>
  </si>
  <si>
    <t xml:space="preserve">เบียร์ (สิงห์/ช้าง)</t>
  </si>
  <si>
    <t xml:space="preserve">ลัง 12 ขวด</t>
  </si>
  <si>
    <t xml:space="preserve">สิงห์ขายดีกว่าช้าง 4:1</t>
  </si>
  <si>
    <t xml:space="preserve">ตัวเลขสีน้ำเงิน (ใช้/วัน) = แก้ไขได้ — คอลัมน์อื่นคำนวณอัตโนมัติ (สัปดาห์ = วัน×7, buffer 20%, จำนวนแพ็คปัดขึ้น)</t>
  </si>
  <si>
    <t xml:space="preserve">ที่มา: ยอดขาย NetSuite loc 452 วันที่ 20–25 ส.ค. 2026 · สัดส่วนเนื้อต่อจานอิง spec สนามบิน (ผัด 125g, เส้น/ซุป 60–90g)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</si>
</sst>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1A47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55555"/>
      <name val="Arial"/>
      <family val="0"/>
      <charset val="1"/>
    </font>
    <font>
      <i val="true"/>
      <sz val="9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1A47"/>
        <bgColor rgb="FF333300"/>
      </patternFill>
    </fill>
    <fill>
      <patternFill patternType="solid">
        <fgColor rgb="FFF5F3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5F3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1A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6" min="5" style="0" width="12"/>
    <col collapsed="false" customWidth="true" hidden="false" outlineLevel="0" max="8" min="7" style="0" width="16"/>
    <col collapsed="false" customWidth="true" hidden="false" outlineLevel="0" max="9" min="9" style="0" width="50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4" t="s">
        <v>13</v>
      </c>
      <c r="D5" s="5" t="n">
        <v>5.3</v>
      </c>
      <c r="E5" s="6" t="n">
        <f aca="false">D5*7</f>
        <v>37.1</v>
      </c>
      <c r="F5" s="6" t="n">
        <f aca="false">E5*1.2</f>
        <v>44.52</v>
      </c>
      <c r="G5" s="4" t="s">
        <v>14</v>
      </c>
      <c r="H5" s="7" t="n">
        <f aca="false">CEILING(F5/1,1)</f>
        <v>45</v>
      </c>
      <c r="I5" s="8" t="s">
        <v>15</v>
      </c>
    </row>
    <row r="6" customFormat="false" ht="15" hidden="false" customHeight="false" outlineLevel="0" collapsed="false">
      <c r="A6" s="9" t="s">
        <v>11</v>
      </c>
      <c r="B6" s="9" t="s">
        <v>16</v>
      </c>
      <c r="C6" s="9" t="s">
        <v>13</v>
      </c>
      <c r="D6" s="10" t="n">
        <v>3.5</v>
      </c>
      <c r="E6" s="11" t="n">
        <f aca="false">D6*7</f>
        <v>24.5</v>
      </c>
      <c r="F6" s="11" t="n">
        <f aca="false">E6*1.2</f>
        <v>29.4</v>
      </c>
      <c r="G6" s="9" t="s">
        <v>17</v>
      </c>
      <c r="H6" s="12" t="n">
        <f aca="false">CEILING(F6/0.5,1)</f>
        <v>59</v>
      </c>
      <c r="I6" s="13" t="s">
        <v>18</v>
      </c>
    </row>
    <row r="7" customFormat="false" ht="15" hidden="false" customHeight="false" outlineLevel="0" collapsed="false">
      <c r="A7" s="4" t="s">
        <v>11</v>
      </c>
      <c r="B7" s="4" t="s">
        <v>19</v>
      </c>
      <c r="C7" s="4" t="s">
        <v>13</v>
      </c>
      <c r="D7" s="5" t="n">
        <v>1.5</v>
      </c>
      <c r="E7" s="6" t="n">
        <f aca="false">D7*7</f>
        <v>10.5</v>
      </c>
      <c r="F7" s="6" t="n">
        <f aca="false">E7*1.2</f>
        <v>12.6</v>
      </c>
      <c r="G7" s="4" t="s">
        <v>14</v>
      </c>
      <c r="H7" s="7" t="n">
        <f aca="false">CEILING(F7/1,1)</f>
        <v>13</v>
      </c>
      <c r="I7" s="8" t="s">
        <v>20</v>
      </c>
    </row>
    <row r="8" customFormat="false" ht="15" hidden="false" customHeight="false" outlineLevel="0" collapsed="false">
      <c r="A8" s="9" t="s">
        <v>11</v>
      </c>
      <c r="B8" s="9" t="s">
        <v>21</v>
      </c>
      <c r="C8" s="9" t="s">
        <v>13</v>
      </c>
      <c r="D8" s="10" t="n">
        <v>1.2</v>
      </c>
      <c r="E8" s="11" t="n">
        <f aca="false">D8*7</f>
        <v>8.4</v>
      </c>
      <c r="F8" s="11" t="n">
        <f aca="false">E8*1.2</f>
        <v>10.08</v>
      </c>
      <c r="G8" s="9" t="s">
        <v>17</v>
      </c>
      <c r="H8" s="12" t="n">
        <f aca="false">CEILING(F8/0.5,1)</f>
        <v>21</v>
      </c>
      <c r="I8" s="13" t="s">
        <v>22</v>
      </c>
    </row>
    <row r="9" customFormat="false" ht="15" hidden="false" customHeight="false" outlineLevel="0" collapsed="false">
      <c r="A9" s="4" t="s">
        <v>11</v>
      </c>
      <c r="B9" s="4" t="s">
        <v>23</v>
      </c>
      <c r="C9" s="4" t="s">
        <v>13</v>
      </c>
      <c r="D9" s="5" t="n">
        <v>0.5</v>
      </c>
      <c r="E9" s="6" t="n">
        <f aca="false">D9*7</f>
        <v>3.5</v>
      </c>
      <c r="F9" s="6" t="n">
        <f aca="false">E9*1.2</f>
        <v>4.2</v>
      </c>
      <c r="G9" s="4" t="s">
        <v>24</v>
      </c>
      <c r="H9" s="7" t="n">
        <f aca="false">CEILING(F9/0.3,1)</f>
        <v>14</v>
      </c>
      <c r="I9" s="8" t="s">
        <v>25</v>
      </c>
    </row>
    <row r="10" customFormat="false" ht="15" hidden="false" customHeight="false" outlineLevel="0" collapsed="false">
      <c r="A10" s="9" t="s">
        <v>11</v>
      </c>
      <c r="B10" s="9" t="s">
        <v>26</v>
      </c>
      <c r="C10" s="9" t="s">
        <v>13</v>
      </c>
      <c r="D10" s="10" t="n">
        <v>0.5</v>
      </c>
      <c r="E10" s="11" t="n">
        <f aca="false">D10*7</f>
        <v>3.5</v>
      </c>
      <c r="F10" s="11" t="n">
        <f aca="false">E10*1.2</f>
        <v>4.2</v>
      </c>
      <c r="G10" s="9" t="s">
        <v>24</v>
      </c>
      <c r="H10" s="12" t="n">
        <f aca="false">CEILING(F10/0.3,1)</f>
        <v>14</v>
      </c>
      <c r="I10" s="13" t="s">
        <v>27</v>
      </c>
    </row>
    <row r="11" customFormat="false" ht="15" hidden="false" customHeight="false" outlineLevel="0" collapsed="false">
      <c r="A11" s="4" t="s">
        <v>11</v>
      </c>
      <c r="B11" s="4" t="s">
        <v>28</v>
      </c>
      <c r="C11" s="4" t="s">
        <v>13</v>
      </c>
      <c r="D11" s="5" t="n">
        <v>0.4</v>
      </c>
      <c r="E11" s="6" t="n">
        <f aca="false">D11*7</f>
        <v>2.8</v>
      </c>
      <c r="F11" s="6" t="n">
        <f aca="false">E11*1.2</f>
        <v>3.36</v>
      </c>
      <c r="G11" s="4" t="s">
        <v>17</v>
      </c>
      <c r="H11" s="7" t="n">
        <f aca="false">CEILING(F11/0.5,1)</f>
        <v>7</v>
      </c>
      <c r="I11" s="8" t="s">
        <v>29</v>
      </c>
    </row>
    <row r="12" customFormat="false" ht="15" hidden="false" customHeight="false" outlineLevel="0" collapsed="false">
      <c r="A12" s="9" t="s">
        <v>11</v>
      </c>
      <c r="B12" s="9" t="s">
        <v>30</v>
      </c>
      <c r="C12" s="9" t="s">
        <v>13</v>
      </c>
      <c r="D12" s="10" t="n">
        <v>0.5</v>
      </c>
      <c r="E12" s="11" t="n">
        <f aca="false">D12*7</f>
        <v>3.5</v>
      </c>
      <c r="F12" s="11" t="n">
        <f aca="false">E12*1.2</f>
        <v>4.2</v>
      </c>
      <c r="G12" s="9" t="s">
        <v>17</v>
      </c>
      <c r="H12" s="12" t="n">
        <f aca="false">CEILING(F12/0.5,1)</f>
        <v>9</v>
      </c>
      <c r="I12" s="13" t="s">
        <v>31</v>
      </c>
    </row>
    <row r="13" customFormat="false" ht="15" hidden="false" customHeight="false" outlineLevel="0" collapsed="false">
      <c r="A13" s="4" t="s">
        <v>11</v>
      </c>
      <c r="B13" s="4" t="s">
        <v>32</v>
      </c>
      <c r="C13" s="4" t="s">
        <v>13</v>
      </c>
      <c r="D13" s="5" t="n">
        <v>0.3</v>
      </c>
      <c r="E13" s="6" t="n">
        <f aca="false">D13*7</f>
        <v>2.1</v>
      </c>
      <c r="F13" s="6" t="n">
        <f aca="false">E13*1.2</f>
        <v>2.52</v>
      </c>
      <c r="G13" s="4" t="s">
        <v>17</v>
      </c>
      <c r="H13" s="7" t="n">
        <f aca="false">CEILING(F13/0.5,1)</f>
        <v>6</v>
      </c>
      <c r="I13" s="8" t="s">
        <v>33</v>
      </c>
    </row>
    <row r="14" customFormat="false" ht="15" hidden="false" customHeight="false" outlineLevel="0" collapsed="false">
      <c r="A14" s="9" t="s">
        <v>11</v>
      </c>
      <c r="B14" s="9" t="s">
        <v>34</v>
      </c>
      <c r="C14" s="9" t="s">
        <v>13</v>
      </c>
      <c r="D14" s="10" t="n">
        <v>0.3</v>
      </c>
      <c r="E14" s="11" t="n">
        <f aca="false">D14*7</f>
        <v>2.1</v>
      </c>
      <c r="F14" s="11" t="n">
        <f aca="false">E14*1.2</f>
        <v>2.52</v>
      </c>
      <c r="G14" s="9" t="s">
        <v>17</v>
      </c>
      <c r="H14" s="12" t="n">
        <f aca="false">CEILING(F14/0.5,1)</f>
        <v>6</v>
      </c>
      <c r="I14" s="13" t="s">
        <v>35</v>
      </c>
    </row>
    <row r="15" customFormat="false" ht="15" hidden="false" customHeight="false" outlineLevel="0" collapsed="false">
      <c r="A15" s="4" t="s">
        <v>36</v>
      </c>
      <c r="B15" s="4" t="s">
        <v>37</v>
      </c>
      <c r="C15" s="4" t="s">
        <v>13</v>
      </c>
      <c r="D15" s="5" t="n">
        <v>0.4</v>
      </c>
      <c r="E15" s="6" t="n">
        <f aca="false">D15*7</f>
        <v>2.8</v>
      </c>
      <c r="F15" s="6" t="n">
        <f aca="false">E15*1.2</f>
        <v>3.36</v>
      </c>
      <c r="G15" s="4" t="s">
        <v>17</v>
      </c>
      <c r="H15" s="7" t="n">
        <f aca="false">CEILING(F15/0.5,1)</f>
        <v>7</v>
      </c>
      <c r="I15" s="8" t="s">
        <v>38</v>
      </c>
    </row>
    <row r="16" customFormat="false" ht="15" hidden="false" customHeight="false" outlineLevel="0" collapsed="false">
      <c r="A16" s="9" t="s">
        <v>36</v>
      </c>
      <c r="B16" s="9" t="s">
        <v>39</v>
      </c>
      <c r="C16" s="9" t="s">
        <v>40</v>
      </c>
      <c r="D16" s="14" t="n">
        <v>10</v>
      </c>
      <c r="E16" s="11" t="n">
        <f aca="false">D16*7</f>
        <v>70</v>
      </c>
      <c r="F16" s="11" t="n">
        <f aca="false">E16*1.2</f>
        <v>84</v>
      </c>
      <c r="G16" s="9" t="s">
        <v>41</v>
      </c>
      <c r="H16" s="12" t="n">
        <f aca="false">CEILING(F16/25,1)</f>
        <v>4</v>
      </c>
      <c r="I16" s="13" t="s">
        <v>42</v>
      </c>
    </row>
    <row r="17" customFormat="false" ht="15" hidden="false" customHeight="false" outlineLevel="0" collapsed="false">
      <c r="A17" s="4" t="s">
        <v>43</v>
      </c>
      <c r="B17" s="4" t="s">
        <v>44</v>
      </c>
      <c r="C17" s="4" t="s">
        <v>45</v>
      </c>
      <c r="D17" s="15" t="n">
        <v>50</v>
      </c>
      <c r="E17" s="6" t="n">
        <f aca="false">D17*7</f>
        <v>350</v>
      </c>
      <c r="F17" s="6" t="n">
        <f aca="false">E17*1.2</f>
        <v>420</v>
      </c>
      <c r="G17" s="4" t="s">
        <v>46</v>
      </c>
      <c r="H17" s="7" t="n">
        <f aca="false">CEILING(F17/30,1)</f>
        <v>14</v>
      </c>
      <c r="I17" s="8" t="s">
        <v>47</v>
      </c>
    </row>
    <row r="18" customFormat="false" ht="15" hidden="false" customHeight="false" outlineLevel="0" collapsed="false">
      <c r="A18" s="9" t="s">
        <v>43</v>
      </c>
      <c r="B18" s="9" t="s">
        <v>48</v>
      </c>
      <c r="C18" s="9" t="s">
        <v>45</v>
      </c>
      <c r="D18" s="10" t="n">
        <v>4</v>
      </c>
      <c r="E18" s="11" t="n">
        <f aca="false">D18*7</f>
        <v>28</v>
      </c>
      <c r="F18" s="11" t="n">
        <f aca="false">E18*1.2</f>
        <v>33.6</v>
      </c>
      <c r="G18" s="9" t="s">
        <v>46</v>
      </c>
      <c r="H18" s="12" t="n">
        <f aca="false">CEILING(F18/30,1)</f>
        <v>2</v>
      </c>
      <c r="I18" s="13" t="s">
        <v>49</v>
      </c>
    </row>
    <row r="19" customFormat="false" ht="15" hidden="false" customHeight="false" outlineLevel="0" collapsed="false">
      <c r="A19" s="4" t="s">
        <v>50</v>
      </c>
      <c r="B19" s="4" t="s">
        <v>51</v>
      </c>
      <c r="C19" s="4" t="s">
        <v>13</v>
      </c>
      <c r="D19" s="5" t="n">
        <v>0.4</v>
      </c>
      <c r="E19" s="6" t="n">
        <f aca="false">D19*7</f>
        <v>2.8</v>
      </c>
      <c r="F19" s="6" t="n">
        <f aca="false">E19*1.2</f>
        <v>3.36</v>
      </c>
      <c r="G19" s="4" t="s">
        <v>52</v>
      </c>
      <c r="H19" s="7" t="n">
        <f aca="false">CEILING(F19/0.5,1)</f>
        <v>7</v>
      </c>
      <c r="I19" s="8" t="s">
        <v>53</v>
      </c>
    </row>
    <row r="20" customFormat="false" ht="15" hidden="false" customHeight="false" outlineLevel="0" collapsed="false">
      <c r="A20" s="9" t="s">
        <v>50</v>
      </c>
      <c r="B20" s="9" t="s">
        <v>54</v>
      </c>
      <c r="C20" s="9" t="s">
        <v>13</v>
      </c>
      <c r="D20" s="10" t="n">
        <v>0.3</v>
      </c>
      <c r="E20" s="11" t="n">
        <f aca="false">D20*7</f>
        <v>2.1</v>
      </c>
      <c r="F20" s="11" t="n">
        <f aca="false">E20*1.2</f>
        <v>2.52</v>
      </c>
      <c r="G20" s="9" t="s">
        <v>17</v>
      </c>
      <c r="H20" s="12" t="n">
        <f aca="false">CEILING(F20/0.5,1)</f>
        <v>6</v>
      </c>
      <c r="I20" s="13" t="s">
        <v>55</v>
      </c>
    </row>
    <row r="21" customFormat="false" ht="15" hidden="false" customHeight="false" outlineLevel="0" collapsed="false">
      <c r="A21" s="4" t="s">
        <v>50</v>
      </c>
      <c r="B21" s="4" t="s">
        <v>56</v>
      </c>
      <c r="C21" s="4" t="s">
        <v>13</v>
      </c>
      <c r="D21" s="5" t="n">
        <v>0.5</v>
      </c>
      <c r="E21" s="6" t="n">
        <f aca="false">D21*7</f>
        <v>3.5</v>
      </c>
      <c r="F21" s="6" t="n">
        <f aca="false">E21*1.2</f>
        <v>4.2</v>
      </c>
      <c r="G21" s="4" t="s">
        <v>17</v>
      </c>
      <c r="H21" s="7" t="n">
        <f aca="false">CEILING(F21/0.5,1)</f>
        <v>9</v>
      </c>
      <c r="I21" s="8" t="s">
        <v>57</v>
      </c>
    </row>
    <row r="22" customFormat="false" ht="15" hidden="false" customHeight="false" outlineLevel="0" collapsed="false">
      <c r="A22" s="9" t="s">
        <v>50</v>
      </c>
      <c r="B22" s="9" t="s">
        <v>58</v>
      </c>
      <c r="C22" s="9" t="s">
        <v>13</v>
      </c>
      <c r="D22" s="10" t="n">
        <v>0.8</v>
      </c>
      <c r="E22" s="11" t="n">
        <f aca="false">D22*7</f>
        <v>5.6</v>
      </c>
      <c r="F22" s="11" t="n">
        <f aca="false">E22*1.2</f>
        <v>6.72</v>
      </c>
      <c r="G22" s="9" t="s">
        <v>14</v>
      </c>
      <c r="H22" s="12" t="n">
        <f aca="false">CEILING(F22/1,1)</f>
        <v>7</v>
      </c>
      <c r="I22" s="13" t="s">
        <v>59</v>
      </c>
    </row>
    <row r="23" customFormat="false" ht="15" hidden="false" customHeight="false" outlineLevel="0" collapsed="false">
      <c r="A23" s="4" t="s">
        <v>50</v>
      </c>
      <c r="B23" s="4" t="s">
        <v>60</v>
      </c>
      <c r="C23" s="4" t="s">
        <v>61</v>
      </c>
      <c r="D23" s="5" t="n">
        <v>8</v>
      </c>
      <c r="E23" s="6" t="n">
        <f aca="false">D23*7</f>
        <v>56</v>
      </c>
      <c r="F23" s="6" t="n">
        <f aca="false">E23*1.2</f>
        <v>67.2</v>
      </c>
      <c r="G23" s="4" t="s">
        <v>62</v>
      </c>
      <c r="H23" s="7" t="n">
        <f aca="false">CEILING(F23/30,1)</f>
        <v>3</v>
      </c>
      <c r="I23" s="8" t="s">
        <v>63</v>
      </c>
    </row>
    <row r="24" customFormat="false" ht="15" hidden="false" customHeight="false" outlineLevel="0" collapsed="false">
      <c r="A24" s="9" t="s">
        <v>64</v>
      </c>
      <c r="B24" s="9" t="s">
        <v>65</v>
      </c>
      <c r="C24" s="9" t="s">
        <v>13</v>
      </c>
      <c r="D24" s="10" t="n">
        <v>1.3</v>
      </c>
      <c r="E24" s="11" t="n">
        <f aca="false">D24*7</f>
        <v>9.1</v>
      </c>
      <c r="F24" s="11" t="n">
        <f aca="false">E24*1.2</f>
        <v>10.92</v>
      </c>
      <c r="G24" s="9" t="s">
        <v>66</v>
      </c>
      <c r="H24" s="12" t="n">
        <f aca="false">CEILING(F24/1,1)</f>
        <v>11</v>
      </c>
      <c r="I24" s="13" t="s">
        <v>67</v>
      </c>
    </row>
    <row r="25" customFormat="false" ht="15" hidden="false" customHeight="false" outlineLevel="0" collapsed="false">
      <c r="A25" s="4" t="s">
        <v>64</v>
      </c>
      <c r="B25" s="4" t="s">
        <v>68</v>
      </c>
      <c r="C25" s="4" t="s">
        <v>13</v>
      </c>
      <c r="D25" s="5" t="n">
        <v>0.8</v>
      </c>
      <c r="E25" s="6" t="n">
        <f aca="false">D25*7</f>
        <v>5.6</v>
      </c>
      <c r="F25" s="6" t="n">
        <f aca="false">E25*1.2</f>
        <v>6.72</v>
      </c>
      <c r="G25" s="4" t="s">
        <v>13</v>
      </c>
      <c r="H25" s="7" t="n">
        <f aca="false">CEILING(F25/1,1)</f>
        <v>7</v>
      </c>
      <c r="I25" s="8" t="s">
        <v>69</v>
      </c>
    </row>
    <row r="26" customFormat="false" ht="15" hidden="false" customHeight="false" outlineLevel="0" collapsed="false">
      <c r="A26" s="9" t="s">
        <v>64</v>
      </c>
      <c r="B26" s="9" t="s">
        <v>70</v>
      </c>
      <c r="C26" s="9" t="s">
        <v>13</v>
      </c>
      <c r="D26" s="10" t="n">
        <v>0.6</v>
      </c>
      <c r="E26" s="11" t="n">
        <f aca="false">D26*7</f>
        <v>4.2</v>
      </c>
      <c r="F26" s="11" t="n">
        <f aca="false">E26*1.2</f>
        <v>5.04</v>
      </c>
      <c r="G26" s="9" t="s">
        <v>13</v>
      </c>
      <c r="H26" s="12" t="n">
        <f aca="false">CEILING(F26/1,1)</f>
        <v>6</v>
      </c>
      <c r="I26" s="13" t="s">
        <v>71</v>
      </c>
    </row>
    <row r="27" customFormat="false" ht="15" hidden="false" customHeight="false" outlineLevel="0" collapsed="false">
      <c r="A27" s="4" t="s">
        <v>64</v>
      </c>
      <c r="B27" s="4" t="s">
        <v>72</v>
      </c>
      <c r="C27" s="4" t="s">
        <v>13</v>
      </c>
      <c r="D27" s="5" t="n">
        <v>1</v>
      </c>
      <c r="E27" s="6" t="n">
        <f aca="false">D27*7</f>
        <v>7</v>
      </c>
      <c r="F27" s="6" t="n">
        <f aca="false">E27*1.2</f>
        <v>8.4</v>
      </c>
      <c r="G27" s="4" t="s">
        <v>13</v>
      </c>
      <c r="H27" s="7" t="n">
        <f aca="false">CEILING(F27/1,1)</f>
        <v>9</v>
      </c>
      <c r="I27" s="8" t="s">
        <v>73</v>
      </c>
    </row>
    <row r="28" customFormat="false" ht="15" hidden="false" customHeight="false" outlineLevel="0" collapsed="false">
      <c r="A28" s="9" t="s">
        <v>74</v>
      </c>
      <c r="B28" s="9" t="s">
        <v>75</v>
      </c>
      <c r="C28" s="9" t="s">
        <v>13</v>
      </c>
      <c r="D28" s="10" t="n">
        <v>6</v>
      </c>
      <c r="E28" s="11" t="n">
        <f aca="false">D28*7</f>
        <v>42</v>
      </c>
      <c r="F28" s="11" t="n">
        <f aca="false">E28*1.2</f>
        <v>50.4</v>
      </c>
      <c r="G28" s="9" t="s">
        <v>76</v>
      </c>
      <c r="H28" s="12" t="n">
        <f aca="false">CEILING(F28/15,1)</f>
        <v>4</v>
      </c>
      <c r="I28" s="13" t="s">
        <v>77</v>
      </c>
    </row>
    <row r="29" customFormat="false" ht="15" hidden="false" customHeight="false" outlineLevel="0" collapsed="false">
      <c r="A29" s="4" t="s">
        <v>74</v>
      </c>
      <c r="B29" s="4" t="s">
        <v>78</v>
      </c>
      <c r="C29" s="4" t="s">
        <v>79</v>
      </c>
      <c r="D29" s="15" t="n">
        <v>22</v>
      </c>
      <c r="E29" s="6" t="n">
        <f aca="false">D29*7</f>
        <v>154</v>
      </c>
      <c r="F29" s="6" t="n">
        <f aca="false">E29*1.2</f>
        <v>184.8</v>
      </c>
      <c r="G29" s="4" t="s">
        <v>80</v>
      </c>
      <c r="H29" s="7" t="n">
        <f aca="false">CEILING(F29/90,1)</f>
        <v>3</v>
      </c>
      <c r="I29" s="8" t="s">
        <v>81</v>
      </c>
    </row>
    <row r="30" customFormat="false" ht="15" hidden="false" customHeight="false" outlineLevel="0" collapsed="false">
      <c r="A30" s="9" t="s">
        <v>74</v>
      </c>
      <c r="B30" s="9" t="s">
        <v>82</v>
      </c>
      <c r="C30" s="9" t="s">
        <v>13</v>
      </c>
      <c r="D30" s="10" t="n">
        <v>1.5</v>
      </c>
      <c r="E30" s="11" t="n">
        <f aca="false">D30*7</f>
        <v>10.5</v>
      </c>
      <c r="F30" s="11" t="n">
        <f aca="false">E30*1.2</f>
        <v>12.6</v>
      </c>
      <c r="G30" s="9" t="s">
        <v>13</v>
      </c>
      <c r="H30" s="12" t="n">
        <f aca="false">CEILING(F30/1,1)</f>
        <v>13</v>
      </c>
      <c r="I30" s="13" t="s">
        <v>83</v>
      </c>
    </row>
    <row r="31" customFormat="false" ht="15" hidden="false" customHeight="false" outlineLevel="0" collapsed="false">
      <c r="A31" s="4" t="s">
        <v>84</v>
      </c>
      <c r="B31" s="4" t="s">
        <v>85</v>
      </c>
      <c r="C31" s="4" t="s">
        <v>86</v>
      </c>
      <c r="D31" s="15" t="n">
        <v>34</v>
      </c>
      <c r="E31" s="6" t="n">
        <f aca="false">D31*7</f>
        <v>238</v>
      </c>
      <c r="F31" s="6" t="n">
        <f aca="false">E31*1.2</f>
        <v>285.6</v>
      </c>
      <c r="G31" s="4" t="s">
        <v>87</v>
      </c>
      <c r="H31" s="7" t="n">
        <f aca="false">CEILING(F31/12,1)</f>
        <v>24</v>
      </c>
      <c r="I31" s="8" t="s">
        <v>88</v>
      </c>
    </row>
    <row r="32" customFormat="false" ht="15" hidden="false" customHeight="false" outlineLevel="0" collapsed="false">
      <c r="A32" s="9" t="s">
        <v>84</v>
      </c>
      <c r="B32" s="9" t="s">
        <v>89</v>
      </c>
      <c r="C32" s="9" t="s">
        <v>86</v>
      </c>
      <c r="D32" s="14" t="n">
        <v>15</v>
      </c>
      <c r="E32" s="11" t="n">
        <f aca="false">D32*7</f>
        <v>105</v>
      </c>
      <c r="F32" s="11" t="n">
        <f aca="false">E32*1.2</f>
        <v>126</v>
      </c>
      <c r="G32" s="9" t="s">
        <v>87</v>
      </c>
      <c r="H32" s="12" t="n">
        <f aca="false">CEILING(F32/12,1)</f>
        <v>11</v>
      </c>
      <c r="I32" s="13" t="s">
        <v>90</v>
      </c>
    </row>
    <row r="33" customFormat="false" ht="15" hidden="false" customHeight="false" outlineLevel="0" collapsed="false">
      <c r="A33" s="4" t="s">
        <v>84</v>
      </c>
      <c r="B33" s="4" t="s">
        <v>91</v>
      </c>
      <c r="C33" s="4" t="s">
        <v>86</v>
      </c>
      <c r="D33" s="5" t="n">
        <v>3</v>
      </c>
      <c r="E33" s="6" t="n">
        <f aca="false">D33*7</f>
        <v>21</v>
      </c>
      <c r="F33" s="6" t="n">
        <f aca="false">E33*1.2</f>
        <v>25.2</v>
      </c>
      <c r="G33" s="4" t="s">
        <v>92</v>
      </c>
      <c r="H33" s="7" t="n">
        <f aca="false">CEILING(F33/12,1)</f>
        <v>3</v>
      </c>
      <c r="I33" s="8" t="s">
        <v>93</v>
      </c>
    </row>
    <row r="35" customFormat="false" ht="15" hidden="false" customHeight="false" outlineLevel="0" collapsed="false">
      <c r="A35" s="16" t="s">
        <v>94</v>
      </c>
    </row>
    <row r="36" customFormat="false" ht="15" hidden="false" customHeight="false" outlineLevel="0" collapsed="false">
      <c r="A36" s="2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2026-08-26T05:25:05Z</dcterms:created>
  <dc:creator>openpyxl</dc:creator>
  <dc:description/>
  <dc:language>en-US</dc:language>
  <cp:lastModifiedBy/>
  <dcterms:modified xsi:type="dcterms:W3CDTF">2026-08-26T05:25:05Z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