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 Sim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<sst xmlns="http://schemas.openxmlformats.org/spreadsheetml/2006/main" count="50" uniqueCount="50">
  <si>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 xml:space="preserve">Khiang — Price Simulator (แก้ช่องสีเหลือง แล้วดู FC% / รายได้ เปลี่ยนอัตโนมัติ)</t>
  </si>
  <si>
    <t xml:space="preserve">สีเหลือง = แก้ไขได้ (ราคาใหม่ และ จำนวนจาน/สัปดาห์) · สีน้ำเงิน = ข้อมูลคงที่ · ราคา inc-VAT 7% · FC% = ต้นทุน ÷ (ราคา/1.07)</t>
  </si>
  <si>
    <t xml:space="preserve">รหัส</t>
  </si>
  <si>
    <t xml:space="preserve">เมนู</t>
  </si>
  <si>
    <t xml:space="preserve">ต้นทุน (฿)</t>
  </si>
  <si>
    <t xml:space="preserve">จาน/สัปดาห์</t>
  </si>
  <si>
    <t xml:space="preserve">ราคาปัจจุบัน</t>
  </si>
  <si>
    <t xml:space="preserve">FC% ปัจจุบัน</t>
  </si>
  <si>
    <t xml:space="preserve">ราคาใหม่ ✏️</t>
  </si>
  <si>
    <t xml:space="preserve">% เพิ่ม</t>
  </si>
  <si>
    <t xml:space="preserve">FC% ใหม่</t>
  </si>
  <si>
    <t xml:space="preserve">รายได้เพิ่ม ฿/สัปดาห์</t>
  </si>
  <si>
    <t xml:space="preserve">K037</t>
  </si>
  <si>
    <t xml:space="preserve">ข้าวผัดกะเพราหมูสับ</t>
  </si>
  <si>
    <t xml:space="preserve">K038</t>
  </si>
  <si>
    <t xml:space="preserve">ข้าวผัดกะเพราไก่ชิ้น</t>
  </si>
  <si>
    <t xml:space="preserve">K041</t>
  </si>
  <si>
    <t xml:space="preserve">ข้าวไข่ยู่ยี่</t>
  </si>
  <si>
    <t xml:space="preserve">K039</t>
  </si>
  <si>
    <t xml:space="preserve">ข้าวไก่กระเทียม</t>
  </si>
  <si>
    <t xml:space="preserve">K046</t>
  </si>
  <si>
    <t xml:space="preserve">ข้าวไก่ผัดน้ำมันหอย</t>
  </si>
  <si>
    <t xml:space="preserve">K040</t>
  </si>
  <si>
    <t xml:space="preserve">ข้าวหมูกระเทียม</t>
  </si>
  <si>
    <t xml:space="preserve">K047</t>
  </si>
  <si>
    <t xml:space="preserve">ข้าวหมูผัดน้ำมันหอย</t>
  </si>
  <si>
    <t xml:space="preserve">K008</t>
  </si>
  <si>
    <t xml:space="preserve">ข้าวผัดโบราณ</t>
  </si>
  <si>
    <t xml:space="preserve">K045</t>
  </si>
  <si>
    <t xml:space="preserve">ข้าวกะเพราเป็ดย่าง</t>
  </si>
  <si>
    <t xml:space="preserve">K043</t>
  </si>
  <si>
    <t xml:space="preserve">ข้าวกะเพราเทพหมู</t>
  </si>
  <si>
    <t xml:space="preserve">K013</t>
  </si>
  <si>
    <t xml:space="preserve">ข้าวกะเพราไก่คาราเกะ</t>
  </si>
  <si>
    <t xml:space="preserve">K042</t>
  </si>
  <si>
    <t xml:space="preserve">ข้าวกะเพราโคขุน (เนื้อโคขุน)</t>
  </si>
  <si>
    <t xml:space="preserve">K016</t>
  </si>
  <si>
    <t xml:space="preserve">ไข่กระทะ</t>
  </si>
  <si>
    <t xml:space="preserve">K017</t>
  </si>
  <si>
    <t xml:space="preserve">ข้าวผัดอเมริกัน</t>
  </si>
  <si>
    <t xml:space="preserve">K014</t>
  </si>
  <si>
    <t xml:space="preserve">มาม่าผัดกะเพราไก่</t>
  </si>
  <si>
    <t xml:space="preserve">K015</t>
  </si>
  <si>
    <t xml:space="preserve">มาม่าต้มยำทรงเครื่อง</t>
  </si>
  <si>
    <t xml:space="preserve">Blended FC% ปัจจุบัน (ถ่วงจำนวนจาน)</t>
  </si>
  <si>
    <t xml:space="preserve">Blended FC% ใหม่</t>
  </si>
  <si>
    <t xml:space="preserve">รายได้เพิ่มรวม ฿/สัปดาห์ (ถ้าจำนวนจานเท่าเดิม)</t>
  </si>
  <si>
    <t xml:space="preserve">รายได้เพิ่ม ฿/วัน</t>
  </si>
  <si>
    <t xml:space="preserve">Break-even ใหม่ ฿/วัน (fixed 24,462/วัน, royalty 4%, FC ทั้งร้าน ≈ blended+5pp)</t>
  </si>
  <si>
    <t xml:space="preserve">หมายเหตุ: จำนวนจาน/สัปดาห์มาจากยอดจริง 5–11 ก.ค. — แก้ได้เพื่อลองสมมติฐาน churn · FC ทั้งร้าน ≈ blended ของเมนูหลัก +5pp (เครื่องดื่ม/ของหวานถ่วงขึ้น) · ราคาใหม่ตั้งต้นที่ระดับ +39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</si>
</sst>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+0.0%;\-0.0%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551FE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EC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EC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5551FE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5" t="s">
        <v>13</v>
      </c>
      <c r="C5" s="6" t="n">
        <v>29.19</v>
      </c>
      <c r="D5" s="7" t="n">
        <v>350</v>
      </c>
      <c r="E5" s="6" t="n">
        <v>105</v>
      </c>
      <c r="F5" s="8" t="n">
        <f aca="false">C5/(E5/1.07)</f>
        <v>0.29746</v>
      </c>
      <c r="G5" s="9" t="n">
        <v>144</v>
      </c>
      <c r="H5" s="10" t="n">
        <f aca="false">G5/E5-1</f>
        <v>0.371428571428571</v>
      </c>
      <c r="I5" s="8" t="n">
        <f aca="false">C5/(G5/1.07)</f>
        <v>0.216897916666667</v>
      </c>
      <c r="J5" s="11" t="n">
        <f aca="false">(G5-E5)/1.07*D5</f>
        <v>12757.0093457944</v>
      </c>
    </row>
    <row r="6" customFormat="false" ht="15" hidden="false" customHeight="false" outlineLevel="0" collapsed="false">
      <c r="A6" s="4" t="s">
        <v>14</v>
      </c>
      <c r="B6" s="5" t="s">
        <v>15</v>
      </c>
      <c r="C6" s="6" t="n">
        <v>27.02</v>
      </c>
      <c r="D6" s="7" t="n">
        <v>138</v>
      </c>
      <c r="E6" s="6" t="n">
        <v>105</v>
      </c>
      <c r="F6" s="8" t="n">
        <f aca="false">C6/(E6/1.07)</f>
        <v>0.275346666666667</v>
      </c>
      <c r="G6" s="9" t="n">
        <v>144</v>
      </c>
      <c r="H6" s="10" t="n">
        <f aca="false">G6/E6-1</f>
        <v>0.371428571428571</v>
      </c>
      <c r="I6" s="8" t="n">
        <f aca="false">C6/(G6/1.07)</f>
        <v>0.200773611111111</v>
      </c>
      <c r="J6" s="11" t="n">
        <f aca="false">(G6-E6)/1.07*D6</f>
        <v>5029.90654205608</v>
      </c>
    </row>
    <row r="7" customFormat="false" ht="15" hidden="false" customHeight="false" outlineLevel="0" collapsed="false">
      <c r="A7" s="4" t="s">
        <v>16</v>
      </c>
      <c r="B7" s="5" t="s">
        <v>17</v>
      </c>
      <c r="C7" s="6" t="n">
        <v>25.61</v>
      </c>
      <c r="D7" s="7" t="n">
        <v>78</v>
      </c>
      <c r="E7" s="6" t="n">
        <v>95</v>
      </c>
      <c r="F7" s="8" t="n">
        <f aca="false">C7/(E7/1.07)</f>
        <v>0.288449473684211</v>
      </c>
      <c r="G7" s="9" t="n">
        <v>134</v>
      </c>
      <c r="H7" s="10" t="n">
        <f aca="false">G7/E7-1</f>
        <v>0.410526315789474</v>
      </c>
      <c r="I7" s="8" t="n">
        <f aca="false">C7/(G7/1.07)</f>
        <v>0.20449776119403</v>
      </c>
      <c r="J7" s="11" t="n">
        <f aca="false">(G7-E7)/1.07*D7</f>
        <v>2842.99065420561</v>
      </c>
    </row>
    <row r="8" customFormat="false" ht="15" hidden="false" customHeight="false" outlineLevel="0" collapsed="false">
      <c r="A8" s="4" t="s">
        <v>18</v>
      </c>
      <c r="B8" s="5" t="s">
        <v>19</v>
      </c>
      <c r="C8" s="6" t="n">
        <v>25.86</v>
      </c>
      <c r="D8" s="7" t="n">
        <v>57</v>
      </c>
      <c r="E8" s="6" t="n">
        <v>110</v>
      </c>
      <c r="F8" s="8" t="n">
        <f aca="false">C8/(E8/1.07)</f>
        <v>0.251547272727273</v>
      </c>
      <c r="G8" s="9" t="n">
        <v>149</v>
      </c>
      <c r="H8" s="10" t="n">
        <f aca="false">G8/E8-1</f>
        <v>0.354545454545455</v>
      </c>
      <c r="I8" s="8" t="n">
        <f aca="false">C8/(G8/1.07)</f>
        <v>0.185706040268456</v>
      </c>
      <c r="J8" s="11" t="n">
        <f aca="false">(G8-E8)/1.07*D8</f>
        <v>2077.57009345794</v>
      </c>
    </row>
    <row r="9" customFormat="false" ht="15" hidden="false" customHeight="false" outlineLevel="0" collapsed="false">
      <c r="A9" s="4" t="s">
        <v>20</v>
      </c>
      <c r="B9" s="5" t="s">
        <v>21</v>
      </c>
      <c r="C9" s="6" t="n">
        <v>25.13</v>
      </c>
      <c r="D9" s="7" t="n">
        <v>28</v>
      </c>
      <c r="E9" s="6" t="n">
        <v>110</v>
      </c>
      <c r="F9" s="8" t="n">
        <f aca="false">C9/(E9/1.07)</f>
        <v>0.244446363636364</v>
      </c>
      <c r="G9" s="9" t="n">
        <v>149</v>
      </c>
      <c r="H9" s="10" t="n">
        <f aca="false">G9/E9-1</f>
        <v>0.354545454545455</v>
      </c>
      <c r="I9" s="8" t="n">
        <f aca="false">C9/(G9/1.07)</f>
        <v>0.180463758389262</v>
      </c>
      <c r="J9" s="11" t="n">
        <f aca="false">(G9-E9)/1.07*D9</f>
        <v>1020.56074766355</v>
      </c>
    </row>
    <row r="10" customFormat="false" ht="15" hidden="false" customHeight="false" outlineLevel="0" collapsed="false">
      <c r="A10" s="4" t="s">
        <v>22</v>
      </c>
      <c r="B10" s="5" t="s">
        <v>23</v>
      </c>
      <c r="C10" s="6" t="n">
        <v>33.06</v>
      </c>
      <c r="D10" s="7" t="n">
        <v>53</v>
      </c>
      <c r="E10" s="6" t="n">
        <v>110</v>
      </c>
      <c r="F10" s="8" t="n">
        <f aca="false">C10/(E10/1.07)</f>
        <v>0.321583636363636</v>
      </c>
      <c r="G10" s="9" t="n">
        <v>149</v>
      </c>
      <c r="H10" s="10" t="n">
        <f aca="false">G10/E10-1</f>
        <v>0.354545454545455</v>
      </c>
      <c r="I10" s="8" t="n">
        <f aca="false">C10/(G10/1.07)</f>
        <v>0.237410738255034</v>
      </c>
      <c r="J10" s="11" t="n">
        <f aca="false">(G10-E10)/1.07*D10</f>
        <v>1931.77570093458</v>
      </c>
    </row>
    <row r="11" customFormat="false" ht="15" hidden="false" customHeight="false" outlineLevel="0" collapsed="false">
      <c r="A11" s="4" t="s">
        <v>24</v>
      </c>
      <c r="B11" s="5" t="s">
        <v>25</v>
      </c>
      <c r="C11" s="6" t="n">
        <v>32.33</v>
      </c>
      <c r="D11" s="7" t="n">
        <v>53</v>
      </c>
      <c r="E11" s="6" t="n">
        <v>110</v>
      </c>
      <c r="F11" s="8" t="n">
        <f aca="false">C11/(E11/1.07)</f>
        <v>0.314482727272727</v>
      </c>
      <c r="G11" s="9" t="n">
        <v>149</v>
      </c>
      <c r="H11" s="10" t="n">
        <f aca="false">G11/E11-1</f>
        <v>0.354545454545455</v>
      </c>
      <c r="I11" s="8" t="n">
        <f aca="false">C11/(G11/1.07)</f>
        <v>0.232168456375839</v>
      </c>
      <c r="J11" s="11" t="n">
        <f aca="false">(G11-E11)/1.07*D11</f>
        <v>1931.77570093458</v>
      </c>
    </row>
    <row r="12" customFormat="false" ht="15" hidden="false" customHeight="false" outlineLevel="0" collapsed="false">
      <c r="A12" s="4" t="s">
        <v>26</v>
      </c>
      <c r="B12" s="5" t="s">
        <v>27</v>
      </c>
      <c r="C12" s="6" t="n">
        <v>30.21</v>
      </c>
      <c r="D12" s="7" t="n">
        <v>75</v>
      </c>
      <c r="E12" s="6" t="n">
        <v>110</v>
      </c>
      <c r="F12" s="8" t="n">
        <f aca="false">C12/(E12/1.07)</f>
        <v>0.293860909090909</v>
      </c>
      <c r="G12" s="9" t="n">
        <v>149</v>
      </c>
      <c r="H12" s="10" t="n">
        <f aca="false">G12/E12-1</f>
        <v>0.354545454545455</v>
      </c>
      <c r="I12" s="8" t="n">
        <f aca="false">C12/(G12/1.07)</f>
        <v>0.216944295302013</v>
      </c>
      <c r="J12" s="11" t="n">
        <f aca="false">(G12-E12)/1.07*D12</f>
        <v>2733.64485981308</v>
      </c>
    </row>
    <row r="13" customFormat="false" ht="15" hidden="false" customHeight="false" outlineLevel="0" collapsed="false">
      <c r="A13" s="4" t="s">
        <v>28</v>
      </c>
      <c r="B13" s="5" t="s">
        <v>29</v>
      </c>
      <c r="C13" s="6" t="n">
        <v>32.17</v>
      </c>
      <c r="D13" s="7" t="n">
        <v>116</v>
      </c>
      <c r="E13" s="6" t="n">
        <v>115</v>
      </c>
      <c r="F13" s="8" t="n">
        <f aca="false">C13/(E13/1.07)</f>
        <v>0.299320869565217</v>
      </c>
      <c r="G13" s="9" t="n">
        <v>154</v>
      </c>
      <c r="H13" s="10" t="n">
        <f aca="false">G13/E13-1</f>
        <v>0.339130434782609</v>
      </c>
      <c r="I13" s="8" t="n">
        <f aca="false">C13/(G13/1.07)</f>
        <v>0.223518831168831</v>
      </c>
      <c r="J13" s="11" t="n">
        <f aca="false">(G13-E13)/1.07*D13</f>
        <v>4228.03738317757</v>
      </c>
    </row>
    <row r="14" customFormat="false" ht="15" hidden="false" customHeight="false" outlineLevel="0" collapsed="false">
      <c r="A14" s="4" t="s">
        <v>30</v>
      </c>
      <c r="B14" s="5" t="s">
        <v>31</v>
      </c>
      <c r="C14" s="6" t="n">
        <v>37.89</v>
      </c>
      <c r="D14" s="7" t="n">
        <v>125</v>
      </c>
      <c r="E14" s="6" t="n">
        <v>160</v>
      </c>
      <c r="F14" s="8" t="n">
        <f aca="false">C14/(E14/1.07)</f>
        <v>0.253389375</v>
      </c>
      <c r="G14" s="9" t="n">
        <v>199</v>
      </c>
      <c r="H14" s="10" t="n">
        <f aca="false">G14/E14-1</f>
        <v>0.24375</v>
      </c>
      <c r="I14" s="8" t="n">
        <f aca="false">C14/(G14/1.07)</f>
        <v>0.203730150753769</v>
      </c>
      <c r="J14" s="11" t="n">
        <f aca="false">(G14-E14)/1.07*D14</f>
        <v>4556.07476635514</v>
      </c>
    </row>
    <row r="15" customFormat="false" ht="15" hidden="false" customHeight="false" outlineLevel="0" collapsed="false">
      <c r="A15" s="4" t="s">
        <v>32</v>
      </c>
      <c r="B15" s="5" t="s">
        <v>33</v>
      </c>
      <c r="C15" s="6" t="n">
        <v>38.93</v>
      </c>
      <c r="D15" s="7" t="n">
        <v>55</v>
      </c>
      <c r="E15" s="6" t="n">
        <v>160</v>
      </c>
      <c r="F15" s="8" t="n">
        <f aca="false">C15/(E15/1.07)</f>
        <v>0.260344375</v>
      </c>
      <c r="G15" s="9" t="n">
        <v>199</v>
      </c>
      <c r="H15" s="10" t="n">
        <f aca="false">G15/E15-1</f>
        <v>0.24375</v>
      </c>
      <c r="I15" s="8" t="n">
        <f aca="false">C15/(G15/1.07)</f>
        <v>0.209322110552764</v>
      </c>
      <c r="J15" s="11" t="n">
        <f aca="false">(G15-E15)/1.07*D15</f>
        <v>2004.67289719626</v>
      </c>
    </row>
    <row r="16" customFormat="false" ht="15" hidden="false" customHeight="false" outlineLevel="0" collapsed="false">
      <c r="A16" s="4" t="s">
        <v>34</v>
      </c>
      <c r="B16" s="5" t="s">
        <v>35</v>
      </c>
      <c r="C16" s="6" t="n">
        <v>42.47</v>
      </c>
      <c r="D16" s="7" t="n">
        <v>101</v>
      </c>
      <c r="E16" s="6" t="n">
        <v>195</v>
      </c>
      <c r="F16" s="8" t="n">
        <f aca="false">C16/(E16/1.07)</f>
        <v>0.233040512820513</v>
      </c>
      <c r="G16" s="9" t="n">
        <v>234</v>
      </c>
      <c r="H16" s="10" t="n">
        <f aca="false">G16/E16-1</f>
        <v>0.2</v>
      </c>
      <c r="I16" s="8" t="n">
        <f aca="false">C16/(G16/1.07)</f>
        <v>0.194200427350427</v>
      </c>
      <c r="J16" s="11" t="n">
        <f aca="false">(G16-E16)/1.07*D16</f>
        <v>3681.30841121495</v>
      </c>
    </row>
    <row r="17" customFormat="false" ht="15" hidden="false" customHeight="false" outlineLevel="0" collapsed="false">
      <c r="A17" s="4" t="s">
        <v>36</v>
      </c>
      <c r="B17" s="5" t="s">
        <v>37</v>
      </c>
      <c r="C17" s="6" t="n">
        <v>39.4</v>
      </c>
      <c r="D17" s="7" t="n">
        <v>10</v>
      </c>
      <c r="E17" s="6" t="n">
        <v>120</v>
      </c>
      <c r="F17" s="8" t="n">
        <f aca="false">C17/(E17/1.07)</f>
        <v>0.351316666666667</v>
      </c>
      <c r="G17" s="9" t="n">
        <v>159</v>
      </c>
      <c r="H17" s="10" t="n">
        <f aca="false">G17/E17-1</f>
        <v>0.325</v>
      </c>
      <c r="I17" s="8" t="n">
        <f aca="false">C17/(G17/1.07)</f>
        <v>0.26514465408805</v>
      </c>
      <c r="J17" s="11" t="n">
        <f aca="false">(G17-E17)/1.07*D17</f>
        <v>364.485981308411</v>
      </c>
    </row>
    <row r="18" customFormat="false" ht="15" hidden="false" customHeight="false" outlineLevel="0" collapsed="false">
      <c r="A18" s="4" t="s">
        <v>38</v>
      </c>
      <c r="B18" s="5" t="s">
        <v>39</v>
      </c>
      <c r="C18" s="6" t="n">
        <v>42.4</v>
      </c>
      <c r="D18" s="7" t="n">
        <v>5</v>
      </c>
      <c r="E18" s="6" t="n">
        <v>125</v>
      </c>
      <c r="F18" s="8" t="n">
        <f aca="false">C18/(E18/1.07)</f>
        <v>0.362944</v>
      </c>
      <c r="G18" s="9" t="n">
        <v>164</v>
      </c>
      <c r="H18" s="10" t="n">
        <f aca="false">G18/E18-1</f>
        <v>0.312</v>
      </c>
      <c r="I18" s="8" t="n">
        <f aca="false">C18/(G18/1.07)</f>
        <v>0.276634146341463</v>
      </c>
      <c r="J18" s="11" t="n">
        <f aca="false">(G18-E18)/1.07*D18</f>
        <v>182.242990654206</v>
      </c>
    </row>
    <row r="19" customFormat="false" ht="15" hidden="false" customHeight="false" outlineLevel="0" collapsed="false">
      <c r="A19" s="4" t="s">
        <v>40</v>
      </c>
      <c r="B19" s="5" t="s">
        <v>41</v>
      </c>
      <c r="C19" s="6" t="n">
        <v>31.79</v>
      </c>
      <c r="D19" s="7" t="n">
        <v>40</v>
      </c>
      <c r="E19" s="6" t="n">
        <v>100</v>
      </c>
      <c r="F19" s="8" t="n">
        <f aca="false">C19/(E19/1.07)</f>
        <v>0.340153</v>
      </c>
      <c r="G19" s="9" t="n">
        <v>139</v>
      </c>
      <c r="H19" s="10" t="n">
        <f aca="false">G19/E19-1</f>
        <v>0.39</v>
      </c>
      <c r="I19" s="8" t="n">
        <f aca="false">C19/(G19/1.07)</f>
        <v>0.244714388489209</v>
      </c>
      <c r="J19" s="11" t="n">
        <f aca="false">(G19-E19)/1.07*D19</f>
        <v>1457.94392523364</v>
      </c>
    </row>
    <row r="20" customFormat="false" ht="15" hidden="false" customHeight="false" outlineLevel="0" collapsed="false">
      <c r="A20" s="4" t="s">
        <v>42</v>
      </c>
      <c r="B20" s="5" t="s">
        <v>43</v>
      </c>
      <c r="C20" s="6" t="n">
        <v>94.79</v>
      </c>
      <c r="D20" s="7" t="n">
        <v>25</v>
      </c>
      <c r="E20" s="6" t="n">
        <v>290</v>
      </c>
      <c r="F20" s="8" t="n">
        <f aca="false">C20/(E20/1.07)</f>
        <v>0.349742413793104</v>
      </c>
      <c r="G20" s="9" t="n">
        <v>329</v>
      </c>
      <c r="H20" s="10" t="n">
        <f aca="false">G20/E20-1</f>
        <v>0.13448275862069</v>
      </c>
      <c r="I20" s="8" t="n">
        <f aca="false">C20/(G20/1.07)</f>
        <v>0.30828358662614</v>
      </c>
      <c r="J20" s="11" t="n">
        <f aca="false">(G20-E20)/1.07*D20</f>
        <v>911.214953271028</v>
      </c>
    </row>
    <row r="22" customFormat="false" ht="15" hidden="false" customHeight="false" outlineLevel="0" collapsed="false">
      <c r="B22" s="12" t="s">
        <v>44</v>
      </c>
      <c r="G22" s="13" t="n">
        <f aca="false">SUMPRODUCT(C5:C20,D5:D20)/SUMPRODUCT(E5:E20/1.07,D5:D20)</f>
        <v>0.282567929001351</v>
      </c>
    </row>
    <row r="23" customFormat="false" ht="15" hidden="false" customHeight="false" outlineLevel="0" collapsed="false">
      <c r="B23" s="12" t="s">
        <v>45</v>
      </c>
      <c r="G23" s="13" t="n">
        <f aca="false">SUMPRODUCT(C5:C20,D5:D20)/SUMPRODUCT(G5:G20/1.07,D5:D20)</f>
        <v>0.215118974522025</v>
      </c>
    </row>
    <row r="24" customFormat="false" ht="15" hidden="false" customHeight="false" outlineLevel="0" collapsed="false">
      <c r="B24" s="12" t="s">
        <v>46</v>
      </c>
      <c r="G24" s="14" t="n">
        <f aca="false">SUM(J5:J20)</f>
        <v>47711.214953271</v>
      </c>
    </row>
    <row r="25" customFormat="false" ht="15" hidden="false" customHeight="false" outlineLevel="0" collapsed="false">
      <c r="B25" s="12" t="s">
        <v>47</v>
      </c>
      <c r="G25" s="14" t="n">
        <f aca="false">SUM(J5:J20)/7</f>
        <v>6815.88785046729</v>
      </c>
    </row>
    <row r="26" customFormat="false" ht="15" hidden="false" customHeight="false" outlineLevel="0" collapsed="false">
      <c r="B26" s="12" t="s">
        <v>48</v>
      </c>
      <c r="G26" s="14" t="n">
        <f aca="false">24462/(1-(SUMPRODUCT(C5:C20,D5:D20)/SUMPRODUCT(G5:G20/1.07,D5:D20)+0.05)-0.04)</f>
        <v>35203.1486011203</v>
      </c>
    </row>
    <row r="28" customFormat="false" ht="15" hidden="false" customHeight="false" outlineLevel="0" collapsed="false">
      <c r="B28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2026-07-21T09:03:17Z</dcterms:created>
  <dc:creator>openpyxl</dc:creator>
  <dc:description/>
  <dc:language>en-US</dc:language>
  <cp:lastModifiedBy/>
  <dcterms:modified xsi:type="dcterms:W3CDTF">2026-07-21T09:03:17Z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